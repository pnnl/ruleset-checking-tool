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goel992\OneDrive - PNNL\Documents\Projects\Commercial\SoftwareValidation\10_Tasks\Task6_RulesetImplementationTestCaseDesctiptions\Envelope\"/>
    </mc:Choice>
  </mc:AlternateContent>
  <xr:revisionPtr revIDLastSave="0" documentId="8_{2E7435ED-3CBA-477E-8639-775C0EE5D6F7}" xr6:coauthVersionLast="45" xr6:coauthVersionMax="45" xr10:uidLastSave="{00000000-0000-0000-0000-000000000000}"/>
  <bookViews>
    <workbookView xWindow="-23148" yWindow="-108" windowWidth="23256" windowHeight="12576" firstSheet="2" activeTab="3" xr2:uid="{6B87A025-47C9-4EB3-8CA2-D60BD1CF7B47}"/>
  </bookViews>
  <sheets>
    <sheet name="Appendix G Envelope Rules" sheetId="3" r:id="rId1"/>
    <sheet name="Envelope Decisions" sheetId="10" r:id="rId2"/>
    <sheet name="Schema Data Elements" sheetId="5" r:id="rId3"/>
    <sheet name="Test Case Descriptions" sheetId="7" r:id="rId4"/>
    <sheet name="Calcs_Rule5" sheetId="11" r:id="rId5"/>
    <sheet name="Calcs_Rule12" sheetId="12" r:id="rId6"/>
    <sheet name="Unit Conversions" sheetId="9" r:id="rId7"/>
    <sheet name="Lighting Space Types" sheetId="8"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42" i="12" l="1"/>
  <c r="F41" i="12"/>
  <c r="G41" i="12"/>
  <c r="G42" i="12"/>
  <c r="E42" i="12"/>
  <c r="E41" i="12"/>
  <c r="F39" i="12"/>
  <c r="G39" i="12"/>
  <c r="E39" i="12"/>
  <c r="D33" i="12"/>
  <c r="C33" i="12"/>
  <c r="B33" i="12"/>
  <c r="D48" i="11" l="1"/>
  <c r="D49" i="11"/>
  <c r="C49" i="11"/>
  <c r="C48" i="11"/>
  <c r="D46" i="11"/>
  <c r="C46" i="11"/>
  <c r="B44" i="11"/>
  <c r="B43" i="11"/>
  <c r="J44" i="7" l="1"/>
  <c r="J45" i="7" s="1"/>
  <c r="J46" i="7" s="1"/>
  <c r="J47" i="7" s="1"/>
  <c r="J48" i="7" s="1"/>
  <c r="J49" i="7" s="1"/>
  <c r="J50" i="7" s="1"/>
  <c r="J51" i="7" s="1"/>
  <c r="J52" i="7" s="1"/>
  <c r="J53" i="7" s="1"/>
  <c r="I45" i="7"/>
  <c r="I46" i="7" s="1"/>
  <c r="I47" i="7" s="1"/>
  <c r="I48" i="7" s="1"/>
  <c r="I49" i="7" s="1"/>
  <c r="I50" i="7" s="1"/>
  <c r="I51" i="7" s="1"/>
  <c r="I52" i="7" s="1"/>
  <c r="I53" i="7" s="1"/>
  <c r="G54" i="7"/>
  <c r="G53" i="7"/>
  <c r="G48" i="7"/>
  <c r="J38" i="7"/>
  <c r="J39" i="7" s="1"/>
  <c r="J40" i="7" s="1"/>
  <c r="J41" i="7" s="1"/>
  <c r="J42" i="7" s="1"/>
  <c r="J43" i="7" s="1"/>
  <c r="J31" i="7"/>
  <c r="J32" i="7" s="1"/>
  <c r="J33" i="7" s="1"/>
  <c r="J34" i="7" s="1"/>
  <c r="G31" i="7"/>
  <c r="G32" i="7" s="1"/>
  <c r="G33" i="7" s="1"/>
  <c r="G34" i="7" s="1"/>
  <c r="C12" i="7"/>
  <c r="C13" i="7" s="1"/>
  <c r="J12" i="7"/>
  <c r="G12" i="7"/>
  <c r="A12" i="7"/>
  <c r="K21" i="7"/>
  <c r="K22" i="7" s="1"/>
  <c r="J21" i="7"/>
  <c r="J22" i="7" s="1"/>
  <c r="J23" i="7" s="1"/>
  <c r="J24" i="7" s="1"/>
  <c r="J25" i="7" s="1"/>
  <c r="J26" i="7" s="1"/>
  <c r="J27" i="7" s="1"/>
  <c r="J28" i="7" s="1"/>
  <c r="J29" i="7" s="1"/>
  <c r="J11" i="7"/>
  <c r="J13" i="7" s="1"/>
  <c r="J14" i="7" s="1"/>
  <c r="J15" i="7" s="1"/>
  <c r="J16" i="7" s="1"/>
  <c r="J17" i="7" s="1"/>
  <c r="J18" i="7" s="1"/>
  <c r="J19" i="7" s="1"/>
  <c r="I22" i="7"/>
  <c r="I23" i="7" s="1"/>
  <c r="I24" i="7" s="1"/>
  <c r="I25" i="7" s="1"/>
  <c r="I26" i="7" s="1"/>
  <c r="I27" i="7" s="1"/>
  <c r="G21" i="7"/>
  <c r="G22" i="7" s="1"/>
  <c r="G23" i="7" s="1"/>
  <c r="G24" i="7" s="1"/>
  <c r="G25" i="7" s="1"/>
  <c r="G26" i="7" s="1"/>
  <c r="G27" i="7" s="1"/>
  <c r="G28" i="7" s="1"/>
  <c r="G29" i="7" s="1"/>
  <c r="G30" i="7" s="1"/>
  <c r="L13" i="7"/>
  <c r="L14" i="7" s="1"/>
  <c r="L15" i="7" s="1"/>
  <c r="L16" i="7" s="1"/>
  <c r="L17" i="7" s="1"/>
  <c r="L18" i="7" s="1"/>
  <c r="L19" i="7" s="1"/>
  <c r="L20" i="7" s="1"/>
  <c r="H13" i="7"/>
  <c r="J3" i="7"/>
  <c r="J4" i="7" s="1"/>
  <c r="J5" i="7" s="1"/>
  <c r="J6" i="7" s="1"/>
  <c r="J7" i="7" s="1"/>
  <c r="J8" i="7" s="1"/>
  <c r="A7" i="10"/>
  <c r="A8" i="10" s="1"/>
  <c r="A9" i="10" s="1"/>
  <c r="A10" i="10" s="1"/>
  <c r="A11" i="10" s="1"/>
  <c r="A12" i="10" s="1"/>
  <c r="A6" i="10"/>
  <c r="A5" i="10"/>
  <c r="A3" i="10"/>
  <c r="A4" i="10" s="1"/>
  <c r="B10" i="10"/>
  <c r="B11" i="10" s="1"/>
  <c r="B2" i="10" s="1"/>
  <c r="B3" i="10" s="1"/>
  <c r="B4" i="10" s="1"/>
  <c r="G36" i="7" l="1"/>
  <c r="G37" i="7" s="1"/>
  <c r="G35" i="7"/>
  <c r="J36" i="7"/>
  <c r="J37" i="7" s="1"/>
  <c r="J35" i="7"/>
  <c r="L21" i="7"/>
  <c r="L22" i="7" s="1"/>
  <c r="L23" i="7" s="1"/>
  <c r="L24" i="7" s="1"/>
  <c r="L25" i="7" s="1"/>
  <c r="L26" i="7" s="1"/>
  <c r="L27" i="7" s="1"/>
  <c r="L28" i="7" s="1"/>
  <c r="L29" i="7" s="1"/>
  <c r="D12" i="7"/>
  <c r="A13" i="10"/>
  <c r="C129" i="7"/>
  <c r="C130" i="7" s="1"/>
  <c r="C131" i="7" s="1"/>
  <c r="C132" i="7" s="1"/>
  <c r="C133" i="7" s="1"/>
  <c r="C134" i="7" s="1"/>
  <c r="C135" i="7" s="1"/>
  <c r="C136" i="7" s="1"/>
  <c r="C137" i="7" s="1"/>
  <c r="C138" i="7" s="1"/>
  <c r="C139" i="7" s="1"/>
  <c r="C140" i="7" s="1"/>
  <c r="C141" i="7" s="1"/>
  <c r="C142" i="7" s="1"/>
  <c r="C143" i="7" s="1"/>
  <c r="C144" i="7" s="1"/>
  <c r="C145" i="7" s="1"/>
  <c r="C146" i="7" s="1"/>
  <c r="H128" i="7"/>
  <c r="H129" i="7" s="1"/>
  <c r="H130" i="7" s="1"/>
  <c r="H131" i="7" s="1"/>
  <c r="H132" i="7" s="1"/>
  <c r="H133" i="7" s="1"/>
  <c r="H134" i="7" s="1"/>
  <c r="H135" i="7" s="1"/>
  <c r="H136" i="7" s="1"/>
  <c r="H137" i="7" s="1"/>
  <c r="H138" i="7" s="1"/>
  <c r="H139" i="7" s="1"/>
  <c r="H140" i="7" s="1"/>
  <c r="H141" i="7" s="1"/>
  <c r="H142" i="7" s="1"/>
  <c r="H143" i="7" s="1"/>
  <c r="H144" i="7" s="1"/>
  <c r="H145" i="7" s="1"/>
  <c r="H146" i="7" s="1"/>
  <c r="G128" i="7"/>
  <c r="G129" i="7" s="1"/>
  <c r="G130" i="7" s="1"/>
  <c r="G131" i="7" s="1"/>
  <c r="G132" i="7" s="1"/>
  <c r="G133" i="7" s="1"/>
  <c r="G134" i="7" s="1"/>
  <c r="G135" i="7" s="1"/>
  <c r="G136" i="7" s="1"/>
  <c r="G137" i="7" s="1"/>
  <c r="G138" i="7" s="1"/>
  <c r="G139" i="7" s="1"/>
  <c r="G140" i="7" s="1"/>
  <c r="G141" i="7" s="1"/>
  <c r="G142" i="7" s="1"/>
  <c r="G143" i="7" s="1"/>
  <c r="G144" i="7" s="1"/>
  <c r="G145" i="7" s="1"/>
  <c r="G146" i="7" s="1"/>
  <c r="H127" i="7"/>
  <c r="G127" i="7"/>
  <c r="L31" i="7" l="1"/>
  <c r="L32" i="7" s="1"/>
  <c r="L33" i="7" s="1"/>
  <c r="L34" i="7" s="1"/>
  <c r="L30" i="7"/>
  <c r="G122" i="7"/>
  <c r="G123" i="7" s="1"/>
  <c r="G126" i="7" s="1"/>
  <c r="C122" i="7"/>
  <c r="C123" i="7" s="1"/>
  <c r="C126" i="7" s="1"/>
  <c r="B122" i="7"/>
  <c r="B124" i="7" s="1"/>
  <c r="M4" i="9"/>
  <c r="G114" i="7"/>
  <c r="G115" i="7" s="1"/>
  <c r="C114" i="7"/>
  <c r="C115" i="7" s="1"/>
  <c r="B114" i="7"/>
  <c r="B115" i="7" s="1"/>
  <c r="G111" i="7"/>
  <c r="G112" i="7" s="1"/>
  <c r="C111" i="7"/>
  <c r="C112" i="7" s="1"/>
  <c r="B111" i="7"/>
  <c r="B112" i="7"/>
  <c r="N4" i="9"/>
  <c r="L36" i="7" l="1"/>
  <c r="L37" i="7" s="1"/>
  <c r="L38" i="7" s="1"/>
  <c r="L39" i="7" s="1"/>
  <c r="L40" i="7" s="1"/>
  <c r="L41" i="7" s="1"/>
  <c r="L42" i="7" s="1"/>
  <c r="L43" i="7" s="1"/>
  <c r="L35" i="7"/>
  <c r="B125" i="7"/>
  <c r="C124" i="7"/>
  <c r="C125" i="7"/>
  <c r="G124" i="7"/>
  <c r="B123" i="7"/>
  <c r="B126" i="7" s="1"/>
  <c r="G125" i="7"/>
  <c r="C116" i="7"/>
  <c r="C117" i="7" s="1"/>
  <c r="B116" i="7"/>
  <c r="B117" i="7" s="1"/>
  <c r="G116" i="7"/>
  <c r="G117" i="7" s="1"/>
  <c r="B108" i="7"/>
  <c r="B109" i="7" s="1"/>
  <c r="B105" i="7"/>
  <c r="B106" i="7" s="1"/>
  <c r="C108" i="7"/>
  <c r="C109" i="7" s="1"/>
  <c r="C105" i="7"/>
  <c r="C106" i="7" s="1"/>
  <c r="C102" i="7"/>
  <c r="C103" i="7" s="1"/>
  <c r="G118" i="7" l="1"/>
  <c r="G119" i="7" s="1"/>
  <c r="G120" i="7" s="1"/>
  <c r="C118" i="7"/>
  <c r="C119" i="7" s="1"/>
  <c r="C120" i="7" s="1"/>
  <c r="B118" i="7"/>
  <c r="B119" i="7" s="1"/>
  <c r="B120" i="7" s="1"/>
  <c r="C16" i="9"/>
  <c r="C15" i="9"/>
  <c r="G91" i="7"/>
  <c r="G92" i="7" s="1"/>
  <c r="G93" i="7" s="1"/>
  <c r="G94" i="7" s="1"/>
  <c r="G95" i="7" s="1"/>
  <c r="G96" i="7" s="1"/>
  <c r="G97" i="7" s="1"/>
  <c r="C14" i="9"/>
  <c r="C98" i="7"/>
  <c r="C99" i="7" s="1"/>
  <c r="C100" i="7" s="1"/>
  <c r="B98" i="7"/>
  <c r="B99" i="7" s="1"/>
  <c r="B100" i="7" s="1"/>
  <c r="C91" i="7"/>
  <c r="C92" i="7" s="1"/>
  <c r="C93" i="7" s="1"/>
  <c r="C94" i="7" s="1"/>
  <c r="B91" i="7"/>
  <c r="B92" i="7" s="1"/>
  <c r="B93" i="7" s="1"/>
  <c r="B94" i="7" s="1"/>
  <c r="A90" i="7"/>
  <c r="A91" i="7" s="1"/>
  <c r="B84" i="7"/>
  <c r="B85" i="7" s="1"/>
  <c r="B86" i="7" s="1"/>
  <c r="C84" i="7"/>
  <c r="C78" i="7"/>
  <c r="C79" i="7" s="1"/>
  <c r="C80" i="7" s="1"/>
  <c r="C81" i="7" s="1"/>
  <c r="C82" i="7" s="1"/>
  <c r="B78" i="7"/>
  <c r="B79" i="7" s="1"/>
  <c r="B80" i="7" s="1"/>
  <c r="B81" i="7" s="1"/>
  <c r="B82" i="7" s="1"/>
  <c r="G75" i="7"/>
  <c r="G76" i="7" s="1"/>
  <c r="C75" i="7"/>
  <c r="C76" i="7" s="1"/>
  <c r="B75" i="7"/>
  <c r="B76" i="7" s="1"/>
  <c r="C70" i="7"/>
  <c r="C71" i="7" s="1"/>
  <c r="C72" i="7" s="1"/>
  <c r="C73" i="7" s="1"/>
  <c r="B70" i="7"/>
  <c r="B71" i="7" s="1"/>
  <c r="B72" i="7" s="1"/>
  <c r="B73" i="7" s="1"/>
  <c r="G64" i="7"/>
  <c r="G65" i="7" s="1"/>
  <c r="G66" i="7" s="1"/>
  <c r="G67" i="7" s="1"/>
  <c r="G68" i="7" s="1"/>
  <c r="G69" i="7" s="1"/>
  <c r="G70" i="7" s="1"/>
  <c r="G71" i="7" s="1"/>
  <c r="G72" i="7" s="1"/>
  <c r="G73" i="7" s="1"/>
  <c r="B65" i="7"/>
  <c r="B66" i="7" s="1"/>
  <c r="B67" i="7" s="1"/>
  <c r="B68" i="7" s="1"/>
  <c r="A64" i="7"/>
  <c r="A65" i="7" s="1"/>
  <c r="A66" i="7" s="1"/>
  <c r="C56" i="7"/>
  <c r="C57" i="7" s="1"/>
  <c r="C58" i="7" s="1"/>
  <c r="C59" i="7" s="1"/>
  <c r="C60" i="7" s="1"/>
  <c r="C61" i="7" s="1"/>
  <c r="C62" i="7" s="1"/>
  <c r="C63" i="7" s="1"/>
  <c r="C65" i="7" s="1"/>
  <c r="C66" i="7" s="1"/>
  <c r="C67" i="7" s="1"/>
  <c r="C68" i="7" s="1"/>
  <c r="B87" i="7" l="1"/>
  <c r="G98" i="7"/>
  <c r="G99" i="7" s="1"/>
  <c r="A92" i="7"/>
  <c r="D91" i="7"/>
  <c r="D90" i="7"/>
  <c r="B89" i="7"/>
  <c r="C85" i="7"/>
  <c r="C86" i="7" s="1"/>
  <c r="D84" i="7"/>
  <c r="D83" i="7"/>
  <c r="D66" i="7"/>
  <c r="A67" i="7"/>
  <c r="A68" i="7" s="1"/>
  <c r="D68" i="7" s="1"/>
  <c r="D65" i="7"/>
  <c r="D64" i="7"/>
  <c r="D55" i="7"/>
  <c r="G4" i="9"/>
  <c r="C87" i="7" l="1"/>
  <c r="D89" i="7"/>
  <c r="D92" i="7"/>
  <c r="A93" i="7"/>
  <c r="D86" i="7"/>
  <c r="D85" i="7"/>
  <c r="D67" i="7"/>
  <c r="A69" i="7"/>
  <c r="C12" i="9"/>
  <c r="G52" i="7"/>
  <c r="G51" i="7"/>
  <c r="G50" i="7"/>
  <c r="G49" i="7"/>
  <c r="G47" i="7"/>
  <c r="G46" i="7"/>
  <c r="A46" i="7"/>
  <c r="A47" i="7" s="1"/>
  <c r="H45" i="7"/>
  <c r="H46" i="7" s="1"/>
  <c r="H47" i="7" s="1"/>
  <c r="G45" i="7"/>
  <c r="C45" i="7"/>
  <c r="C46" i="7" s="1"/>
  <c r="C47" i="7" s="1"/>
  <c r="B45" i="7"/>
  <c r="B46" i="7" s="1"/>
  <c r="B47" i="7" s="1"/>
  <c r="B48" i="7" s="1"/>
  <c r="A45" i="7"/>
  <c r="G44" i="7"/>
  <c r="D44" i="7"/>
  <c r="C13" i="9"/>
  <c r="C11" i="9"/>
  <c r="C10" i="9"/>
  <c r="C9" i="9"/>
  <c r="C8" i="9"/>
  <c r="C7" i="9"/>
  <c r="C6" i="9"/>
  <c r="C5" i="9"/>
  <c r="J7" i="9"/>
  <c r="J6" i="9"/>
  <c r="J5" i="9"/>
  <c r="J4" i="9"/>
  <c r="C4" i="9"/>
  <c r="C39" i="7"/>
  <c r="C40" i="7" s="1"/>
  <c r="C41" i="7" s="1"/>
  <c r="C42" i="7" s="1"/>
  <c r="C43" i="7" s="1"/>
  <c r="C32" i="7"/>
  <c r="C33" i="7" s="1"/>
  <c r="C34" i="7" s="1"/>
  <c r="G43" i="7"/>
  <c r="G42" i="7"/>
  <c r="G41" i="7"/>
  <c r="G40" i="7"/>
  <c r="H39" i="7"/>
  <c r="H40" i="7" s="1"/>
  <c r="H41" i="7" s="1"/>
  <c r="H42" i="7" s="1"/>
  <c r="H43" i="7" s="1"/>
  <c r="G39" i="7"/>
  <c r="B39" i="7"/>
  <c r="B40" i="7" s="1"/>
  <c r="B41" i="7" s="1"/>
  <c r="B42" i="7" s="1"/>
  <c r="B43" i="7" s="1"/>
  <c r="A39" i="7"/>
  <c r="G38" i="7"/>
  <c r="D38" i="7"/>
  <c r="A40" i="7"/>
  <c r="B32" i="7"/>
  <c r="B33" i="7" s="1"/>
  <c r="B34" i="7" s="1"/>
  <c r="H32" i="7"/>
  <c r="H33" i="7" s="1"/>
  <c r="H34" i="7" s="1"/>
  <c r="H22" i="7"/>
  <c r="H23" i="7" s="1"/>
  <c r="H24" i="7" s="1"/>
  <c r="H25" i="7" s="1"/>
  <c r="H26" i="7" s="1"/>
  <c r="H27" i="7" s="1"/>
  <c r="H28" i="7" s="1"/>
  <c r="H29" i="7" s="1"/>
  <c r="H14" i="7"/>
  <c r="C22" i="7"/>
  <c r="C23" i="7" s="1"/>
  <c r="C24" i="7" s="1"/>
  <c r="C25" i="7" s="1"/>
  <c r="C26" i="7" s="1"/>
  <c r="C27" i="7" s="1"/>
  <c r="C28" i="7" s="1"/>
  <c r="C29" i="7" s="1"/>
  <c r="C30" i="7" s="1"/>
  <c r="C14" i="7"/>
  <c r="C4" i="7"/>
  <c r="C5" i="7" s="1"/>
  <c r="C6" i="7" s="1"/>
  <c r="C7" i="7" s="1"/>
  <c r="B22" i="7"/>
  <c r="B23" i="7" s="1"/>
  <c r="B24" i="7" s="1"/>
  <c r="B25" i="7" s="1"/>
  <c r="B26" i="7" s="1"/>
  <c r="B27" i="7" s="1"/>
  <c r="B28" i="7" s="1"/>
  <c r="B29" i="7" s="1"/>
  <c r="B30" i="7" s="1"/>
  <c r="D87" i="7" l="1"/>
  <c r="D88" i="7"/>
  <c r="C49" i="7"/>
  <c r="C50" i="7" s="1"/>
  <c r="C51" i="7" s="1"/>
  <c r="C52" i="7" s="1"/>
  <c r="C53" i="7" s="1"/>
  <c r="C54" i="7" s="1"/>
  <c r="C48" i="7"/>
  <c r="H49" i="7"/>
  <c r="H50" i="7" s="1"/>
  <c r="H51" i="7" s="1"/>
  <c r="H52" i="7" s="1"/>
  <c r="H53" i="7" s="1"/>
  <c r="H48" i="7"/>
  <c r="A49" i="7"/>
  <c r="A50" i="7" s="1"/>
  <c r="A48" i="7"/>
  <c r="C36" i="7"/>
  <c r="C37" i="7" s="1"/>
  <c r="C35" i="7"/>
  <c r="B36" i="7"/>
  <c r="B37" i="7" s="1"/>
  <c r="B35" i="7"/>
  <c r="H36" i="7"/>
  <c r="H37" i="7" s="1"/>
  <c r="H35" i="7"/>
  <c r="C16" i="7"/>
  <c r="C17" i="7" s="1"/>
  <c r="C15" i="7"/>
  <c r="H16" i="7"/>
  <c r="H17" i="7" s="1"/>
  <c r="H15" i="7"/>
  <c r="C8" i="7"/>
  <c r="C9" i="7" s="1"/>
  <c r="A94" i="7"/>
  <c r="D93" i="7"/>
  <c r="A70" i="7"/>
  <c r="D69" i="7"/>
  <c r="D45" i="7"/>
  <c r="B49" i="7"/>
  <c r="B50" i="7" s="1"/>
  <c r="B51" i="7" s="1"/>
  <c r="B52" i="7" s="1"/>
  <c r="B53" i="7" s="1"/>
  <c r="B54" i="7" s="1"/>
  <c r="D47" i="7"/>
  <c r="D46" i="7"/>
  <c r="D39" i="7"/>
  <c r="D40" i="7"/>
  <c r="A41" i="7"/>
  <c r="G11" i="7"/>
  <c r="G13" i="7" s="1"/>
  <c r="G14" i="7" s="1"/>
  <c r="G15" i="7" s="1"/>
  <c r="G16" i="7" s="1"/>
  <c r="G17" i="7" s="1"/>
  <c r="G18" i="7" s="1"/>
  <c r="G19" i="7" s="1"/>
  <c r="G20" i="7" s="1"/>
  <c r="G3" i="7"/>
  <c r="G4" i="7" s="1"/>
  <c r="G5" i="7" s="1"/>
  <c r="G6" i="7" s="1"/>
  <c r="G7" i="7" s="1"/>
  <c r="A3" i="7"/>
  <c r="A4" i="7" s="1"/>
  <c r="A5" i="7" s="1"/>
  <c r="A6" i="7" s="1"/>
  <c r="K2" i="3"/>
  <c r="K3" i="3" s="1"/>
  <c r="K4" i="3" s="1"/>
  <c r="K5" i="3" s="1"/>
  <c r="K6" i="3" s="1"/>
  <c r="K7" i="3" s="1"/>
  <c r="K8" i="3" s="1"/>
  <c r="K9" i="3" s="1"/>
  <c r="D48" i="7" l="1"/>
  <c r="H18" i="7"/>
  <c r="H19" i="7" s="1"/>
  <c r="C18" i="7"/>
  <c r="C19" i="7" s="1"/>
  <c r="C20" i="7" s="1"/>
  <c r="D9" i="7"/>
  <c r="C10" i="7"/>
  <c r="D10" i="7" s="1"/>
  <c r="G8" i="7"/>
  <c r="G9" i="7" s="1"/>
  <c r="G10" i="7" s="1"/>
  <c r="A95" i="7"/>
  <c r="A96" i="7" s="1"/>
  <c r="D94" i="7"/>
  <c r="D70" i="7"/>
  <c r="A71" i="7"/>
  <c r="B3" i="7"/>
  <c r="B4" i="7" s="1"/>
  <c r="B5" i="7" s="1"/>
  <c r="B6" i="7" s="1"/>
  <c r="B7" i="7" s="1"/>
  <c r="B8" i="7" s="1"/>
  <c r="K10" i="3"/>
  <c r="K11" i="3" s="1"/>
  <c r="K12" i="3" s="1"/>
  <c r="K13" i="3" s="1"/>
  <c r="D49" i="7"/>
  <c r="D50" i="7"/>
  <c r="A51" i="7"/>
  <c r="A42" i="7"/>
  <c r="D41" i="7"/>
  <c r="A7" i="7"/>
  <c r="A8" i="7" s="1"/>
  <c r="D96" i="7" l="1"/>
  <c r="A97" i="7"/>
  <c r="D97" i="7" s="1"/>
  <c r="K14" i="3"/>
  <c r="K15" i="3" s="1"/>
  <c r="K16" i="3" s="1"/>
  <c r="K17" i="3" s="1"/>
  <c r="K18" i="3" s="1"/>
  <c r="K19" i="3" s="1"/>
  <c r="K20" i="3" s="1"/>
  <c r="K21" i="3" s="1"/>
  <c r="D95" i="7"/>
  <c r="D71" i="7"/>
  <c r="A72" i="7"/>
  <c r="D3" i="7"/>
  <c r="D4" i="7"/>
  <c r="D5" i="7"/>
  <c r="D6" i="7"/>
  <c r="D51" i="7"/>
  <c r="A52" i="7"/>
  <c r="A53" i="7" s="1"/>
  <c r="D42" i="7"/>
  <c r="A43" i="7"/>
  <c r="D7" i="7"/>
  <c r="D53" i="7" l="1"/>
  <c r="A54" i="7"/>
  <c r="D54" i="7" s="1"/>
  <c r="K22" i="3"/>
  <c r="K23" i="3" s="1"/>
  <c r="A98" i="7"/>
  <c r="A73" i="7"/>
  <c r="D72" i="7"/>
  <c r="D52" i="7"/>
  <c r="D43" i="7"/>
  <c r="D8" i="7"/>
  <c r="A99" i="7" l="1"/>
  <c r="D98" i="7"/>
  <c r="D73" i="7"/>
  <c r="A74" i="7"/>
  <c r="A11" i="7"/>
  <c r="A100" i="7" l="1"/>
  <c r="D99" i="7"/>
  <c r="A75" i="7"/>
  <c r="D74" i="7"/>
  <c r="A13" i="7"/>
  <c r="D13" i="7" s="1"/>
  <c r="D11" i="7"/>
  <c r="D100" i="7" l="1"/>
  <c r="A101" i="7"/>
  <c r="D75" i="7"/>
  <c r="A76" i="7"/>
  <c r="A14" i="7"/>
  <c r="A16" i="7" l="1"/>
  <c r="D16" i="7" s="1"/>
  <c r="A15" i="7"/>
  <c r="D15" i="7" s="1"/>
  <c r="D101" i="7"/>
  <c r="A102" i="7"/>
  <c r="D76" i="7"/>
  <c r="A77" i="7"/>
  <c r="D14" i="7"/>
  <c r="A17" i="7" l="1"/>
  <c r="A18" i="7" s="1"/>
  <c r="D18" i="7" s="1"/>
  <c r="D102" i="7"/>
  <c r="A103" i="7"/>
  <c r="A78" i="7"/>
  <c r="D77" i="7"/>
  <c r="D17" i="7" l="1"/>
  <c r="D103" i="7"/>
  <c r="A104" i="7"/>
  <c r="D78" i="7"/>
  <c r="A79" i="7"/>
  <c r="A105" i="7" l="1"/>
  <c r="D104" i="7"/>
  <c r="D79" i="7"/>
  <c r="A80" i="7"/>
  <c r="A19" i="7"/>
  <c r="A20" i="7" s="1"/>
  <c r="D20" i="7" s="1"/>
  <c r="D80" i="7" l="1"/>
  <c r="A81" i="7"/>
  <c r="A106" i="7"/>
  <c r="D105" i="7"/>
  <c r="D19" i="7"/>
  <c r="A21" i="7"/>
  <c r="D81" i="7" l="1"/>
  <c r="A82" i="7"/>
  <c r="D82" i="7" s="1"/>
  <c r="D106" i="7"/>
  <c r="A107" i="7"/>
  <c r="D21" i="7"/>
  <c r="A23" i="7"/>
  <c r="A22" i="7"/>
  <c r="D22" i="7" s="1"/>
  <c r="A108" i="7" l="1"/>
  <c r="D107" i="7"/>
  <c r="A24" i="7"/>
  <c r="D23" i="7"/>
  <c r="A109" i="7" l="1"/>
  <c r="A111" i="7" s="1"/>
  <c r="D111" i="7" s="1"/>
  <c r="D108" i="7"/>
  <c r="A25" i="7"/>
  <c r="D24" i="7"/>
  <c r="D109" i="7" l="1"/>
  <c r="A110" i="7"/>
  <c r="A26" i="7"/>
  <c r="D25" i="7"/>
  <c r="A112" i="7" l="1"/>
  <c r="D110" i="7"/>
  <c r="D26" i="7"/>
  <c r="A27" i="7"/>
  <c r="D112" i="7" l="1"/>
  <c r="A113" i="7"/>
  <c r="A28" i="7"/>
  <c r="D27" i="7"/>
  <c r="D113" i="7" l="1"/>
  <c r="A114" i="7"/>
  <c r="A115" i="7" s="1"/>
  <c r="D115" i="7" s="1"/>
  <c r="A29" i="7"/>
  <c r="A30" i="7" s="1"/>
  <c r="D30" i="7" s="1"/>
  <c r="D28" i="7"/>
  <c r="D114" i="7" l="1"/>
  <c r="D29" i="7"/>
  <c r="A31" i="7"/>
  <c r="A33" i="7" l="1"/>
  <c r="D31" i="7"/>
  <c r="A32" i="7"/>
  <c r="D32" i="7" s="1"/>
  <c r="A116" i="7" l="1"/>
  <c r="A34" i="7"/>
  <c r="A35" i="7" s="1"/>
  <c r="D35" i="7" s="1"/>
  <c r="D33" i="7"/>
  <c r="D116" i="7" l="1"/>
  <c r="A117" i="7"/>
  <c r="A118" i="7" s="1"/>
  <c r="D118" i="7" s="1"/>
  <c r="D34" i="7"/>
  <c r="A36" i="7"/>
  <c r="D117" i="7" l="1"/>
  <c r="A37" i="7"/>
  <c r="D36" i="7"/>
  <c r="A119" i="7" l="1"/>
  <c r="A120" i="7" s="1"/>
  <c r="A122" i="7" s="1"/>
  <c r="D37" i="7"/>
  <c r="D122" i="7" l="1"/>
  <c r="A126" i="7"/>
  <c r="A127" i="7" s="1"/>
  <c r="D120" i="7"/>
  <c r="A121" i="7"/>
  <c r="D119" i="7"/>
  <c r="D127" i="7" l="1"/>
  <c r="A128" i="7"/>
  <c r="A123" i="7"/>
  <c r="D123" i="7" s="1"/>
  <c r="A125" i="7"/>
  <c r="D126" i="7"/>
  <c r="D121" i="7"/>
  <c r="A124" i="7"/>
  <c r="D124" i="7" s="1"/>
  <c r="D128" i="7" l="1"/>
  <c r="A129" i="7"/>
  <c r="D125" i="7"/>
  <c r="A130" i="7" l="1"/>
  <c r="D129" i="7"/>
  <c r="D56" i="7"/>
  <c r="D60" i="7"/>
  <c r="D61" i="7"/>
  <c r="D58" i="7"/>
  <c r="D59" i="7"/>
  <c r="D57" i="7"/>
  <c r="D62" i="7"/>
  <c r="D63" i="7"/>
  <c r="D130" i="7" l="1"/>
  <c r="A131" i="7"/>
  <c r="D131" i="7" l="1"/>
  <c r="A132" i="7"/>
  <c r="D132" i="7" l="1"/>
  <c r="A133" i="7"/>
  <c r="A134" i="7" l="1"/>
  <c r="D133" i="7"/>
  <c r="D134" i="7" l="1"/>
  <c r="A135" i="7"/>
  <c r="D135" i="7" l="1"/>
  <c r="A136" i="7"/>
  <c r="D136" i="7" l="1"/>
  <c r="A137" i="7"/>
  <c r="D137" i="7" l="1"/>
  <c r="A138" i="7"/>
  <c r="A139" i="7" l="1"/>
  <c r="D138" i="7"/>
  <c r="A140" i="7" l="1"/>
  <c r="D139" i="7"/>
  <c r="D140" i="7" l="1"/>
  <c r="A141" i="7"/>
  <c r="A142" i="7" l="1"/>
  <c r="D141" i="7"/>
  <c r="A143" i="7" l="1"/>
  <c r="D142" i="7"/>
  <c r="D143" i="7" l="1"/>
  <c r="A144" i="7"/>
  <c r="D144" i="7" l="1"/>
  <c r="A145" i="7"/>
  <c r="D145" i="7" l="1"/>
  <c r="A146" i="7"/>
  <c r="D146" i="7" s="1"/>
</calcChain>
</file>

<file path=xl/sharedStrings.xml><?xml version="1.0" encoding="utf-8"?>
<sst xmlns="http://schemas.openxmlformats.org/spreadsheetml/2006/main" count="2746" uniqueCount="1067">
  <si>
    <t>Rule ID</t>
  </si>
  <si>
    <t>App G Section</t>
  </si>
  <si>
    <t>Proposed Building Requirement</t>
  </si>
  <si>
    <t>Baseline Building Requirement</t>
  </si>
  <si>
    <t>Building</t>
  </si>
  <si>
    <t>Y</t>
  </si>
  <si>
    <t>Same as Proposed</t>
  </si>
  <si>
    <t>As Designed</t>
  </si>
  <si>
    <t>N</t>
  </si>
  <si>
    <t>Table G3.1 Section 4 Exception 2</t>
  </si>
  <si>
    <t>Envelope</t>
  </si>
  <si>
    <t>Shading</t>
  </si>
  <si>
    <t>5a</t>
  </si>
  <si>
    <t>Orientation</t>
  </si>
  <si>
    <t>Table G3.1 Section 5a</t>
  </si>
  <si>
    <t>5b</t>
  </si>
  <si>
    <t>Opaque Surface</t>
  </si>
  <si>
    <t>Table G3.1 Section 5b</t>
  </si>
  <si>
    <t>5c</t>
  </si>
  <si>
    <t>5d</t>
  </si>
  <si>
    <t>5e</t>
  </si>
  <si>
    <t>5f</t>
  </si>
  <si>
    <t>5g</t>
  </si>
  <si>
    <t>Vertical Fenestration</t>
  </si>
  <si>
    <t>Table G3.1 Section 5c</t>
  </si>
  <si>
    <t>5h</t>
  </si>
  <si>
    <t>Table G3.1 Section 5d</t>
  </si>
  <si>
    <t>5i</t>
  </si>
  <si>
    <t>5j</t>
  </si>
  <si>
    <t>5k</t>
  </si>
  <si>
    <t>Skylights</t>
  </si>
  <si>
    <t>Table G3.1 Section 5e</t>
  </si>
  <si>
    <t>5l</t>
  </si>
  <si>
    <t>Roof</t>
  </si>
  <si>
    <t>Table G3.1 Section 5f</t>
  </si>
  <si>
    <t>Table G3.1 Section 5g</t>
  </si>
  <si>
    <t>Table G3.1 
Section 5b &amp; G3.1.1.4</t>
  </si>
  <si>
    <t>Air Leakage</t>
  </si>
  <si>
    <t>Exceptions</t>
  </si>
  <si>
    <t>14a</t>
  </si>
  <si>
    <t>Table G3.1 Section 14</t>
  </si>
  <si>
    <t>14b</t>
  </si>
  <si>
    <t>Shading by Adjacent Structures and Terrain. The effect that structures and significant vegetation or topographical features have on the amount of solar radiation being received by a structure shall be adequately reflected in the computer analysis. All elements whose effective height is greater than their distance from a proposed building and whose width facing the proposed building is greater than one-third that of the proposed building shall be accounted for in the analysis.</t>
  </si>
  <si>
    <t>Opaque Assemblies used for new buildings, existing buildings, or additions shall conform with assemblies detailed in Appendix A and shall match the appropriate assembly maximum U-factors in Tables G3.4-1 through G3.4-8:   • Roofs—Insulation entirely above deck (A2.2).</t>
  </si>
  <si>
    <t>Opaque Assemblies used for new buildings, existing buildings, or additions shall conform with assemblies detailed in Appendix A and shall match the appropriate assembly maximum U-factors in Tables G3.4-1 through G3.4-8:  • Below-grade walls—Concrete block (A4).</t>
  </si>
  <si>
    <t>Opaque Assemblies used for new buildings, existing buildings, or additions shall conform with assemblies detailed in Appendix A and shall match the appropriate assembly maximum U-factors in Tables G3.4-1 through G3.4-8: • Above-grade walls—Steel-framed (A3.3).</t>
  </si>
  <si>
    <t>Opaque Assemblies used for new buildings, existing buildings, or additions shall conform
with assemblies detailed in Appendix A and shall match the appropriate assembly maximum U-factors in Tables G3.4-1 through G3.4-8: • Floors—Steel-joist (A5.3).</t>
  </si>
  <si>
    <t>Opaque Assemblies used for new buildings, existing buildings, or additions shall conform
with assemblies detailed in Appendix A and shall match the appropriate assembly maximum U-factors in
Tables G3.4-1 through G3.4-8: • Slab-on-grade floors shall match the F-factor for unheated slabs from the same tables (A6).</t>
  </si>
  <si>
    <t>Roof Albedo. All roof surfaces shall be modeled with a reflectivity of 0.30.</t>
  </si>
  <si>
    <t>Unique ID</t>
  </si>
  <si>
    <t>Sizing</t>
  </si>
  <si>
    <t>Schedules may be allowed to differ between proposed design and baseline building design when necessary to model nonstandard efficiency measures, such as automated exterior shading  In no case shall schedules differ where the controls are manual (e.g., manual operation of light switches or manual operation of windows).</t>
  </si>
  <si>
    <t>Schedule</t>
  </si>
  <si>
    <t>4k</t>
  </si>
  <si>
    <t xml:space="preserve"> Fenestration U-factorrs for new buildings, existing buildings, and additions shall match the appropriate requirements in Tables G3.4-1 through G3.4-8 for the applicable glazing percentage for Uall.
</t>
  </si>
  <si>
    <t xml:space="preserve">Vertical Fenestration Assemblies. Fenestration SHGC's for new buildings, existing buildings, and additions shall match the appropriate requirements in Tables G3.4-1 through G3.4-8 using the value for SHGCall for the applicable vertical glazing percentage. </t>
  </si>
  <si>
    <t>Fenestration for new buildings, existing buildings, and additions shall be assumed to be flush with the exterior wall, and no shading projections shall be modeled.</t>
  </si>
  <si>
    <t>Manual window shading devices such as blinds or shades are not required to be modeled.</t>
  </si>
  <si>
    <t>Skylight SHGC properties shall match the appropriate requirements in Tables G3.4-1 through G3.4-8 using the value and the applicable skylight percentage.</t>
  </si>
  <si>
    <t>Skylight U-factor shall match the appropriate requirements in Tables G3.4-1 through G3.4-8 using the value and the applicable skylight percentage.</t>
  </si>
  <si>
    <t>5p</t>
  </si>
  <si>
    <t>5q</t>
  </si>
  <si>
    <t>5r</t>
  </si>
  <si>
    <t>5s</t>
  </si>
  <si>
    <t>5t</t>
  </si>
  <si>
    <t>The  exterior roof surfaces shall be modeled using a thermal emittance of 0.90.</t>
  </si>
  <si>
    <t>The  exterior roof surfaces shall be modeled using a solar reflectance of 0.30.</t>
  </si>
  <si>
    <t>5w</t>
  </si>
  <si>
    <t>Envelope Misc.</t>
  </si>
  <si>
    <t>Walls</t>
  </si>
  <si>
    <t>Floors</t>
  </si>
  <si>
    <t>It is acceptable to use either an annual average ground temperature or monthly average ground temperatures for calculation of heat loss through basement floors.</t>
  </si>
  <si>
    <t>Class 1</t>
  </si>
  <si>
    <t>Class 2</t>
  </si>
  <si>
    <t>Class 3</t>
  </si>
  <si>
    <t>2016</t>
  </si>
  <si>
    <t>2019</t>
  </si>
  <si>
    <t>SHGC</t>
  </si>
  <si>
    <t>Emissivity</t>
  </si>
  <si>
    <t>Reflectance</t>
  </si>
  <si>
    <t>U-Factor</t>
  </si>
  <si>
    <t>U-factor</t>
  </si>
  <si>
    <t>Requires data lookup</t>
  </si>
  <si>
    <t>Mandatory 90.1 Requirement</t>
  </si>
  <si>
    <t>Test ID</t>
  </si>
  <si>
    <t>Test Description</t>
  </si>
  <si>
    <t>Test Scope</t>
  </si>
  <si>
    <t>Complexity</t>
  </si>
  <si>
    <t>Importance</t>
  </si>
  <si>
    <t>Rule-ID + num</t>
  </si>
  <si>
    <t>from App G Rules</t>
  </si>
  <si>
    <t>Test case building</t>
  </si>
  <si>
    <t>Test Case RMR Template</t>
  </si>
  <si>
    <t>Proposed RMR Value(s)</t>
  </si>
  <si>
    <t>attribute 1
attribute 2
attrribute 3
(ALT+Enter for return)</t>
  </si>
  <si>
    <t>value 1
value 2
value 3</t>
  </si>
  <si>
    <t>Office</t>
  </si>
  <si>
    <t>Building/Surface/System</t>
  </si>
  <si>
    <t>Attribute Names
 (variables needed for test)</t>
  </si>
  <si>
    <t>Baseline RMR Value(s)</t>
  </si>
  <si>
    <t>User RMR Value(s)</t>
  </si>
  <si>
    <t>Expected Test Outcome</t>
  </si>
  <si>
    <t>Note</t>
  </si>
  <si>
    <t xml:space="preserve"> </t>
  </si>
  <si>
    <t>Triggers</t>
  </si>
  <si>
    <t>Area</t>
  </si>
  <si>
    <t>5b-1</t>
  </si>
  <si>
    <t xml:space="preserve">Baseline Performance is the average of 4 rotations if vertical fenestration area per each orientation differ by more than 5%; difference in areas &lt;5%  </t>
  </si>
  <si>
    <t>App G Section ID</t>
  </si>
  <si>
    <t>Rule Description</t>
  </si>
  <si>
    <t>a</t>
  </si>
  <si>
    <t>RMR Tested</t>
  </si>
  <si>
    <t>Baseline</t>
  </si>
  <si>
    <t>Delete Once Notes incorporated into 
Columns N-&gt;Q</t>
  </si>
  <si>
    <t>Proposed
Baseline
User</t>
  </si>
  <si>
    <t>Test Outcome Text</t>
  </si>
  <si>
    <t>Specific Text describing test outcome</t>
  </si>
  <si>
    <t>Describe specific test</t>
  </si>
  <si>
    <t>Rule Assertion</t>
  </si>
  <si>
    <t>Do other rules or requirements trigger this rule</t>
  </si>
  <si>
    <t>General rule requirement 
Baseline RMR = User RMR
Baseline RMR = expected value
etc…</t>
  </si>
  <si>
    <t>none</t>
  </si>
  <si>
    <t>Pass</t>
  </si>
  <si>
    <t>Floor Height from Comnet</t>
  </si>
  <si>
    <t>Fail</t>
  </si>
  <si>
    <t>Std 229 Schema  Name</t>
  </si>
  <si>
    <t>Description</t>
  </si>
  <si>
    <t>Units</t>
  </si>
  <si>
    <t>Type</t>
  </si>
  <si>
    <t>Enumerations</t>
  </si>
  <si>
    <t>Indication of whether Baseline Model was rotated per Appendix G</t>
  </si>
  <si>
    <t>Number</t>
  </si>
  <si>
    <t>degrees</t>
  </si>
  <si>
    <t>Number Range</t>
  </si>
  <si>
    <t>0 to 360</t>
  </si>
  <si>
    <t>0 to 180</t>
  </si>
  <si>
    <t>Clockwise angle between North (0 degrees) and the horizontal projection of the wall's outward normal. 0 = north, 90 = East, 180 = South, 270 = West</t>
  </si>
  <si>
    <t>Area of a surface</t>
  </si>
  <si>
    <t>square meters</t>
  </si>
  <si>
    <t>number</t>
  </si>
  <si>
    <t>&gt;0</t>
  </si>
  <si>
    <t>list</t>
  </si>
  <si>
    <t>Appendix G Section Reference</t>
  </si>
  <si>
    <t>Data Group</t>
  </si>
  <si>
    <t>Surface</t>
  </si>
  <si>
    <t xml:space="preserve">Surface </t>
  </si>
  <si>
    <t>ID(Name)</t>
  </si>
  <si>
    <t>Angle between vertical and the surface outward normal, e.g. 0 = roof, 90 = wall, 180 = downward facing surface (exterior floor)</t>
  </si>
  <si>
    <t>tilt</t>
  </si>
  <si>
    <t>azimuth</t>
  </si>
  <si>
    <t>adjacent_to</t>
  </si>
  <si>
    <t>ambient, ground, interior</t>
  </si>
  <si>
    <t>Determines whether this is an (a) exterior surface if adjacent to ambient, (b) slab-on-grad or below grade surface if adjacent to ground, or (c) interior surface if adjacent to another thermal block.</t>
  </si>
  <si>
    <t xml:space="preserve">Attribute Names
 (variables needed for test) 
</t>
  </si>
  <si>
    <t xml:space="preserve">Rule Dependency </t>
  </si>
  <si>
    <t>Unique surface identifier</t>
  </si>
  <si>
    <t>area</t>
  </si>
  <si>
    <t>None</t>
  </si>
  <si>
    <t>roof: the upper portion of the building envelope, including opaque areas and fenestration, that is horizontal or tilted at an angle of less than 60 degrees from horizontal</t>
  </si>
  <si>
    <t>Data lookup required</t>
  </si>
  <si>
    <t>No</t>
  </si>
  <si>
    <t>Project</t>
  </si>
  <si>
    <t>Baseline Performance is the average of 4 rotations if vertical fenestration area per each orientation differ by more than 5%</t>
  </si>
  <si>
    <t>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t>
  </si>
  <si>
    <t>XXX</t>
  </si>
  <si>
    <t>is_rotated</t>
  </si>
  <si>
    <t>Notes</t>
  </si>
  <si>
    <r>
      <t>Baseline RMR</t>
    </r>
    <r>
      <rPr>
        <sz val="10"/>
        <color rgb="FFFF0000"/>
        <rFont val="Arial Nova Cond"/>
        <family val="2"/>
      </rPr>
      <t xml:space="preserve"> </t>
    </r>
    <r>
      <rPr>
        <sz val="10"/>
        <rFont val="Arial Nova Cond"/>
        <family val="2"/>
      </rPr>
      <t>Building:is_rotated</t>
    </r>
    <r>
      <rPr>
        <sz val="10"/>
        <color theme="1"/>
        <rFont val="Arial Nova Cond"/>
        <family val="2"/>
      </rPr>
      <t xml:space="preserve"> = expected value</t>
    </r>
  </si>
  <si>
    <t>Logic</t>
  </si>
  <si>
    <t>The baseline vertical fenestration area differs by more than 5% on each orientation, the baseline was rotated as required.</t>
  </si>
  <si>
    <t>The baseline vertical fenestration area differs by less than 5% on each orientation. The baseline was not rotated, which meets the requirements.</t>
  </si>
  <si>
    <t>Manual Check Required</t>
  </si>
  <si>
    <t xml:space="preserve">The baseline vertical fenestration area differs by more than 5% on each orientation but the baseline was not rotated as required. Project must demonstrated to the satisfaction of the rating authority that the building orientation is dictated by site considerations. </t>
  </si>
  <si>
    <t>Rule ID2</t>
  </si>
  <si>
    <t>W/m2·K</t>
  </si>
  <si>
    <t>Recommend including RMR files for each alternative baseline orientation in liue of having this field</t>
  </si>
  <si>
    <t>boolean</t>
  </si>
  <si>
    <t>Space</t>
  </si>
  <si>
    <t>Occupancy types from Tabld G3.7; used to determine the baseline LPD and whether the exterior envelope should be categorized as residential or non-residential</t>
  </si>
  <si>
    <t>sensible_cool_output_capacity</t>
  </si>
  <si>
    <t>heat_output_capacity</t>
  </si>
  <si>
    <t>HVACSystem</t>
  </si>
  <si>
    <t>floor_area</t>
  </si>
  <si>
    <t>occupancy_type</t>
  </si>
  <si>
    <t>climate_zone</t>
  </si>
  <si>
    <t>Baseline RMR Surface:U_factor = expected value</t>
  </si>
  <si>
    <t>U_factor</t>
  </si>
  <si>
    <t>Yes, Tables G3.4-1 to G3.4-8</t>
  </si>
  <si>
    <t>Baseline HVAC system capacities are provided</t>
  </si>
  <si>
    <r>
      <t>m</t>
    </r>
    <r>
      <rPr>
        <vertAlign val="superscript"/>
        <sz val="11"/>
        <color theme="1"/>
        <rFont val="Calibri"/>
        <family val="2"/>
        <scheme val="minor"/>
      </rPr>
      <t>2</t>
    </r>
  </si>
  <si>
    <t>gross floor area of the space</t>
  </si>
  <si>
    <t xml:space="preserve">Building:climate_zone
HVACSystem:ID
HVACSystem:sensible_cool_output_capacity
HVACSystem:heat_output_capacity
Space:ID
Space:floor_area
Space:occupancy_type
Surface:ID
Surface:tilt
Surface:adjacent_to
Surface:U_factor
</t>
  </si>
  <si>
    <t>Space by Space Categories</t>
  </si>
  <si>
    <t>Audience Seating/Auditorium</t>
  </si>
  <si>
    <t>Audience Seating/Convention Center</t>
  </si>
  <si>
    <t>Audience Seating/All Other</t>
  </si>
  <si>
    <t>Audience Seating/Gymnasium</t>
  </si>
  <si>
    <t>Audience Seating/Motion Picture Theatre</t>
  </si>
  <si>
    <t>Audience Seating/Penitentiary</t>
  </si>
  <si>
    <t>Audience Seating/Performing Arts Theater</t>
  </si>
  <si>
    <t>Audience Seating/Religious Building</t>
  </si>
  <si>
    <t>Audience Seating/Sports Arena</t>
  </si>
  <si>
    <t>Atrium &lt;20 ft in Height</t>
  </si>
  <si>
    <t>Atrium ≥20 ft and ≤40 ft in Height</t>
  </si>
  <si>
    <t>Atrium &gt;40 ft in Height</t>
  </si>
  <si>
    <t>Atrium/≤40 ft in Height</t>
  </si>
  <si>
    <t>Banking Activity Area</t>
  </si>
  <si>
    <t>Classroom/Lecture Hall/Training Room in Penitentiary</t>
  </si>
  <si>
    <t>Classroom/Lecture Hall/Training Room in a Preschool through 12th grade, Laboratory, and Shop Classrooms</t>
  </si>
  <si>
    <t>Classroom/Lecture Hall/Training Room in All Other</t>
  </si>
  <si>
    <t>Conference/Meeting/Multipurpose Room</t>
  </si>
  <si>
    <t>Confinement Cells</t>
  </si>
  <si>
    <t>Copy/Print Room</t>
  </si>
  <si>
    <t>Corridor/Facility for Visually Impaired</t>
  </si>
  <si>
    <t>Corridor/Hospital</t>
  </si>
  <si>
    <t>Corridor/Manufacturing Facility</t>
  </si>
  <si>
    <t>Corridor/All Other</t>
  </si>
  <si>
    <t>Courtroom</t>
  </si>
  <si>
    <t>Computer Room</t>
  </si>
  <si>
    <t>Dining Area/Penitentiary</t>
  </si>
  <si>
    <t>Dining Area/Facility for Visually Impaired</t>
  </si>
  <si>
    <t>Dining Area/Bar/Lounge or Leisure Dining</t>
  </si>
  <si>
    <t>Dining Area/Cafeteria/Fast Food</t>
  </si>
  <si>
    <t>Dining Area/Family Dining</t>
  </si>
  <si>
    <t>Dining Area/All Other</t>
  </si>
  <si>
    <t>Electrical/Mechanical Room</t>
  </si>
  <si>
    <t>Emergency Vehicle Garage</t>
  </si>
  <si>
    <t>Food Preparation Area</t>
  </si>
  <si>
    <t>residential</t>
  </si>
  <si>
    <t>Guest Room</t>
  </si>
  <si>
    <t>Judges Chambers</t>
  </si>
  <si>
    <t>Dwelling Unit</t>
  </si>
  <si>
    <t>Laboratory/Classroom</t>
  </si>
  <si>
    <t>Laboratory/All Other</t>
  </si>
  <si>
    <t>Laundry/Washing Area</t>
  </si>
  <si>
    <t>Loading Dock, Interior</t>
  </si>
  <si>
    <t>Lobby/Facility for Visually Impaired</t>
  </si>
  <si>
    <t>Lobby/Elevator</t>
  </si>
  <si>
    <t>Lobby/Hotel</t>
  </si>
  <si>
    <t>Lobby/Motion Picture Theater</t>
  </si>
  <si>
    <t>Lobby/Performing Arts Theater</t>
  </si>
  <si>
    <t>Lobby/All Other</t>
  </si>
  <si>
    <t>Locker Room</t>
  </si>
  <si>
    <t>Lounge/Breakroom in Healthcare Facility</t>
  </si>
  <si>
    <t>Lounge/Breakroom/All Other</t>
  </si>
  <si>
    <t>Office/Enclosed and ≤250 ft^2</t>
  </si>
  <si>
    <t>Office/Enclosed and &gt;250 ft^2</t>
  </si>
  <si>
    <t>Office/Open Plan</t>
  </si>
  <si>
    <t>Office/Enclosed</t>
  </si>
  <si>
    <t>Parking Area, Interior</t>
  </si>
  <si>
    <t>Pharmacy Area</t>
  </si>
  <si>
    <t>Restroom/Facility for the Visually Impaired</t>
  </si>
  <si>
    <t>Restroom/ All Other</t>
  </si>
  <si>
    <t>Sales Area</t>
  </si>
  <si>
    <t>Seating Area, General</t>
  </si>
  <si>
    <t>Stairwell</t>
  </si>
  <si>
    <t>Storage Room/Hospital</t>
  </si>
  <si>
    <t>Storage Room/&lt;50 ft^2</t>
  </si>
  <si>
    <t>Storage Room/≥50 ft^2 and ≤1000 ft^2</t>
  </si>
  <si>
    <t>Storage Room/All Other</t>
  </si>
  <si>
    <t>Storage Room/≥50 ft^2</t>
  </si>
  <si>
    <t>Vehicular Maintenance Area</t>
  </si>
  <si>
    <t>Workshop</t>
  </si>
  <si>
    <t>Assisted Living Facility/Chapel</t>
  </si>
  <si>
    <t>Assisted Living Facility/Recreation Room</t>
  </si>
  <si>
    <t>Facility for the Visually Impaired/Chapel</t>
  </si>
  <si>
    <t>Facility for the Visually Impaired/Recreation Room/Common Living Room</t>
  </si>
  <si>
    <t>Convention Center-Exhibit Space</t>
  </si>
  <si>
    <t>Dormitory-Living Quarters</t>
  </si>
  <si>
    <t>Fire Station-Sleeping Quarters</t>
  </si>
  <si>
    <t>Gymnasium/Fitness Center/Exercise Area</t>
  </si>
  <si>
    <t>Gymnasium/Fitness Center/Playing Area</t>
  </si>
  <si>
    <t>Healthcare Facility/Emergency Room</t>
  </si>
  <si>
    <t>Healthcare Facility/Exam/Treatment Room</t>
  </si>
  <si>
    <t>Healthcare Facility/Imaging Room</t>
  </si>
  <si>
    <t>Healthcare Facility/Medical Supply Room</t>
  </si>
  <si>
    <t>Healthcare Facility/Nursery</t>
  </si>
  <si>
    <t>Healthcare Facility/Nurses Station</t>
  </si>
  <si>
    <t>Healthcare Facility/Operating Room</t>
  </si>
  <si>
    <t>Healthcare Facility/Patient Room</t>
  </si>
  <si>
    <t>Healthcare Facility/Physical Therapy Room</t>
  </si>
  <si>
    <t>Healthcare Facility/Recovery Room</t>
  </si>
  <si>
    <t>Library/Reading Area</t>
  </si>
  <si>
    <t>Library/Stacks</t>
  </si>
  <si>
    <t>Manufacturing Facility/Detailed Manufacturing Area</t>
  </si>
  <si>
    <t>Manufacturing Facility/Equipment Room</t>
  </si>
  <si>
    <t>Manufacturing Facility/Extra High Bay Area (&gt;50 ft floor-to-ceiling height)</t>
  </si>
  <si>
    <t>Manufacturing Facility/High Bay Area (25-50 ft floor-to-ceiling height)</t>
  </si>
  <si>
    <t>Manufacturing Facility/Low Bay Area (&lt;25 ft floor-to-ceiling height)</t>
  </si>
  <si>
    <t>Museum/General Exhibition Area</t>
  </si>
  <si>
    <t>Museum/Restoration Room</t>
  </si>
  <si>
    <t>Performing Arts Theater—Dressing Room</t>
  </si>
  <si>
    <t>Post Office/Sorting Area</t>
  </si>
  <si>
    <t>Religious Facility/Fellowship Hall</t>
  </si>
  <si>
    <t>Religious Facility/Pulpit/Worship/Choir Area</t>
  </si>
  <si>
    <t>Retail Facilities/Dressing/Fitting Room</t>
  </si>
  <si>
    <t>Retail Facilities/Mall Concourse</t>
  </si>
  <si>
    <t>Sports Arena-Playing Area/Class I Facility</t>
  </si>
  <si>
    <t>Sports Arena-Playing Area/Class II Facility</t>
  </si>
  <si>
    <t>Sports Arena-Playing Area/Class III Facility</t>
  </si>
  <si>
    <t>Sports Arena-Playing Area/Class IV Facility</t>
  </si>
  <si>
    <t>Transportation Facility/Baggage/Carousel Area</t>
  </si>
  <si>
    <t>Transportation Facility/Airport Concourse</t>
  </si>
  <si>
    <t>Transportation Facility/Ticket Counter</t>
  </si>
  <si>
    <t>Warehouse-Storage Area/Medium to Bulky, Palletized Items</t>
  </si>
  <si>
    <t>Warehouse-Storage Area/Smaller, Hand Carried Items</t>
  </si>
  <si>
    <t>The baseline roof U Factor is established correctly for a conditioned residential space in climate zone 4A.</t>
  </si>
  <si>
    <t>The baseline roof U Factor is not established correctly for a conditioned residential space in climate zone 4A.</t>
  </si>
  <si>
    <t>The baseline roof U Factor is established correctly for a conditioned nonresidential space in climate zone 4A.</t>
  </si>
  <si>
    <t xml:space="preserve">Building:climate_zone
HVACSystem:ID
HVACSystem:sensible_cool_output_capacity
HVACSystem:heat_output_capacity
Space:ID
Space:floor_area
Space:occupancy_type
Surface:ID
Surface:tilt
Surface:adjacent_to
Surface:U_factor
Space:ID
Space:floor_area
Space:occupancy_type
</t>
  </si>
  <si>
    <t>The baseline roof U Factor is established correctly for a semiheated space in climate zone 4A.</t>
  </si>
  <si>
    <r>
      <t xml:space="preserve">Building is located in climate zone 4A and includes a space that has residential occupancy type and is  coditioned based on heating capacity of the HVAC system that servies it. The baseline roof U-factor for the space is established correctly.
</t>
    </r>
    <r>
      <rPr>
        <sz val="10"/>
        <color rgb="FFFF0000"/>
        <rFont val="Arial Nova Cond"/>
        <family val="2"/>
      </rPr>
      <t xml:space="preserve">
</t>
    </r>
  </si>
  <si>
    <r>
      <t xml:space="preserve">Building is located in climate zone 4A and includes a space that has residential occupancy type and is  coditioned based on heating capacity of the HVAC system that servies it. The baseline roof U-factor for the space is not established correctly.
</t>
    </r>
    <r>
      <rPr>
        <sz val="10"/>
        <color rgb="FFFF0000"/>
        <rFont val="Arial Nova Cond"/>
        <family val="2"/>
      </rPr>
      <t xml:space="preserve">
</t>
    </r>
  </si>
  <si>
    <r>
      <t xml:space="preserve">Building is located in climate zone 4A and includes a space that has nonresidential occupancy type and is  coditioned based on heating capacity of the HVAC system that servies it. The baseline roof U-factor for the space is established correctly.
</t>
    </r>
    <r>
      <rPr>
        <sz val="10"/>
        <color rgb="FFFF0000"/>
        <rFont val="Arial Nova Cond"/>
        <family val="2"/>
      </rPr>
      <t xml:space="preserve">
</t>
    </r>
  </si>
  <si>
    <r>
      <t xml:space="preserve">Building is located in climate zone 4A and includes a space that has residential occupancy type and is  coditioned based on cooling capacity of the HVAC system that servies it. The baseline roof U-factor for the space is established correctly.
</t>
    </r>
    <r>
      <rPr>
        <sz val="10"/>
        <color rgb="FFFF0000"/>
        <rFont val="Arial Nova Cond"/>
        <family val="2"/>
      </rPr>
      <t xml:space="preserve">
</t>
    </r>
  </si>
  <si>
    <t>B-RMR Surface:U_factor = U-RMR Surface:U-factor</t>
  </si>
  <si>
    <r>
      <t xml:space="preserve">Building is located in climate zone 4A and includes a space that has residential occupancy type and is  coditioned based on heating capacity of the HVAC system that servies it. The baseline below-grade wall C-factor for the space is established correctly.
</t>
    </r>
    <r>
      <rPr>
        <sz val="10"/>
        <color rgb="FFFF0000"/>
        <rFont val="Arial Nova Cond"/>
        <family val="2"/>
      </rPr>
      <t xml:space="preserve">
</t>
    </r>
  </si>
  <si>
    <t>The baseline below-grade wall C-Factor is established correctly for a conditioned residential space in climate zone 4A.</t>
  </si>
  <si>
    <t xml:space="preserve">Building:climate_zone
HVACSystem:ID
HVACSystem:sensible_cool_output_capacity
HVACSystem:heat_output_capacity
Space:ID
Space:floor_area
Space:occupancy_type
Surface:ID
Surface:tilt
Surface:adjacent_to
Surface:C_factor
</t>
  </si>
  <si>
    <r>
      <t xml:space="preserve">Building is located in climate zone 4A and includes a space that has residential occupancy type and is  coditioned based on heating capacity of the HVAC system that servies it. The baseline below-grade wall C-factor for the space is not established correctly.
</t>
    </r>
    <r>
      <rPr>
        <sz val="10"/>
        <color rgb="FFFF0000"/>
        <rFont val="Arial Nova Cond"/>
        <family val="2"/>
      </rPr>
      <t xml:space="preserve">
</t>
    </r>
  </si>
  <si>
    <t>The baseline below-grade wall C Factor is established correctly for a conditioned residential space in climate zone 4A.</t>
  </si>
  <si>
    <t>The baseline below-grade wall C-Factor is not established correctly for a conditioned residential space in climate zone 4A.</t>
  </si>
  <si>
    <r>
      <t xml:space="preserve">Building is located in climate zone 4A and includes a space that has nonresidential occupancy type and is  coditioned based on heating capacity of the HVAC system that servies it. The baseline below-grade wall C-factor for the space is established correctly.
</t>
    </r>
    <r>
      <rPr>
        <sz val="10"/>
        <color rgb="FFFF0000"/>
        <rFont val="Arial Nova Cond"/>
        <family val="2"/>
      </rPr>
      <t xml:space="preserve">
</t>
    </r>
  </si>
  <si>
    <r>
      <t xml:space="preserve">A space has non-residential occupancy type and is semiheated based on heating and cooling capacity of the HVAC system that servies the two spaces that are assigned to it. Building is located in climate zone 4A. The baseline below-grade wall C-factor for the space is established correctly.
</t>
    </r>
    <r>
      <rPr>
        <sz val="10"/>
        <color rgb="FFFF0000"/>
        <rFont val="Arial Nova Cond"/>
        <family val="2"/>
      </rPr>
      <t xml:space="preserve">
</t>
    </r>
  </si>
  <si>
    <t>The baseline below-grade wall C-Factor is established correctly for a semiheated space in climate zone 4A.</t>
  </si>
  <si>
    <t>The baseline below-grade wall C-Factor is established correctly for a conditioned nonresidential space in climate zone 4A.</t>
  </si>
  <si>
    <r>
      <t xml:space="preserve">A space has non-residential occupancy type and is semiheated based on heating and cooling capacity of the HVAC system that servies the two spaces that are assigned to it. Building is located in climate zone 4A. The baseline below-grade wall C-factor for the space is not established correctly.
</t>
    </r>
    <r>
      <rPr>
        <sz val="10"/>
        <color rgb="FFFF0000"/>
        <rFont val="Arial Nova Cond"/>
        <family val="2"/>
      </rPr>
      <t xml:space="preserve">
</t>
    </r>
  </si>
  <si>
    <r>
      <t xml:space="preserve">A space has non-residential occupancy type and is conditioned based on heating capacity of the HVAC system that servies the two spaces that are assigned to it. Building is located in climate zone 4A. The baseline below-grade wall C-factor for the space is not established correctly.
</t>
    </r>
    <r>
      <rPr>
        <sz val="10"/>
        <color rgb="FFFF0000"/>
        <rFont val="Arial Nova Cond"/>
        <family val="2"/>
      </rPr>
      <t xml:space="preserve">
</t>
    </r>
  </si>
  <si>
    <t>The baseline below-grade wall C-Factor for an unconditioned space in climate zone 4A is not equal to the C-Factor of this wall in the user model, which is incorrect.</t>
  </si>
  <si>
    <t>The baseline below-grade wall C-Factor is not established correctly for a semiheated space in climate zone 4A.</t>
  </si>
  <si>
    <t>C_factor</t>
  </si>
  <si>
    <t>surface C-factor</t>
  </si>
  <si>
    <r>
      <t xml:space="preserve">Building is located in climate zone 4A and includes a space that has residential occupancy type and is  coditioned based on heating capacity of the HVAC system that servies it. The baseline exterior wall U-factor for the space is established correctly.
</t>
    </r>
    <r>
      <rPr>
        <sz val="10"/>
        <color rgb="FFFF0000"/>
        <rFont val="Arial Nova Cond"/>
        <family val="2"/>
      </rPr>
      <t xml:space="preserve">
</t>
    </r>
  </si>
  <si>
    <t>The baseline exterior wall U Factor is established correctly for a conditioned residential space in climate zone 4A.</t>
  </si>
  <si>
    <r>
      <t xml:space="preserve">Building is located in climate zone 4A and includes a space that has residential occupancy type and is  coditioned based on cooling capacity of the HVAC system that servies it. The baseline exterior wall U-factor for the space is established correctly.
</t>
    </r>
    <r>
      <rPr>
        <sz val="10"/>
        <color rgb="FFFF0000"/>
        <rFont val="Arial Nova Cond"/>
        <family val="2"/>
      </rPr>
      <t xml:space="preserve">
</t>
    </r>
  </si>
  <si>
    <r>
      <t xml:space="preserve">Building is located in climate zone 4A and includes a space that has residential occupancy type and is  coditioned based on heating capacity of the HVAC system that servies it. The baseline exterior wall U-factor for the space is not established correctly.
</t>
    </r>
    <r>
      <rPr>
        <sz val="10"/>
        <color rgb="FFFF0000"/>
        <rFont val="Arial Nova Cond"/>
        <family val="2"/>
      </rPr>
      <t xml:space="preserve">
</t>
    </r>
  </si>
  <si>
    <r>
      <t xml:space="preserve">Building is located in climate zone 4A and includes a space that has nonresidential occupancy type and is  coditioned based on heating capacity of the HVAC system that servies it. The baseline exterior wall U-factor for the space is established correctly.
</t>
    </r>
    <r>
      <rPr>
        <sz val="10"/>
        <color rgb="FFFF0000"/>
        <rFont val="Arial Nova Cond"/>
        <family val="2"/>
      </rPr>
      <t xml:space="preserve">
</t>
    </r>
  </si>
  <si>
    <t>IP</t>
  </si>
  <si>
    <t>SI</t>
  </si>
  <si>
    <t xml:space="preserve">IP </t>
  </si>
  <si>
    <t>Capacity</t>
  </si>
  <si>
    <t xml:space="preserve"> Btu/hr-ft^2</t>
  </si>
  <si>
    <t>W/m2</t>
  </si>
  <si>
    <t>Btu/h·ft2·F</t>
  </si>
  <si>
    <t>4A res &amp; non-res roof</t>
  </si>
  <si>
    <t>4A semiheat roof</t>
  </si>
  <si>
    <t>C</t>
  </si>
  <si>
    <t>4A res  wall</t>
  </si>
  <si>
    <t>4A non-res and semi  wall</t>
  </si>
  <si>
    <t>4A below grade wall all</t>
  </si>
  <si>
    <t>4A floor res</t>
  </si>
  <si>
    <t>4A floor non-res</t>
  </si>
  <si>
    <t>4A floor semi</t>
  </si>
  <si>
    <t>4A slab all</t>
  </si>
  <si>
    <t>F_factor</t>
  </si>
  <si>
    <t>surface F-factor</t>
  </si>
  <si>
    <t>W/m·K</t>
  </si>
  <si>
    <t>U-factor, C-factor</t>
  </si>
  <si>
    <t>Btu/h·ft·F</t>
  </si>
  <si>
    <t xml:space="preserve">4A
1                        
10000
32000
1  
1000
Dwelling Unit
1
59
ambient
0.358   
         </t>
  </si>
  <si>
    <t xml:space="preserve">4A
1                        
10000
32000
1  
1000
Dwelling Unit
1
59
ambient
0.380    
         </t>
  </si>
  <si>
    <t xml:space="preserve">4A
1                        
10000
32000
1  
1000
Enclosed Office
1
59
ambient
0.358    
         </t>
  </si>
  <si>
    <t>The baseline roof U Factor is not established correctly for a semiheated space in climate zone 4A.</t>
  </si>
  <si>
    <t xml:space="preserve">4A
1                        
9000
32000
1  
1000
Dwelling Unit
1
165
ambient
0.216    
         </t>
  </si>
  <si>
    <r>
      <t xml:space="preserve">Building is located in climate zone 4A and includes a space that has residential occupancy type and is  coditioned based on heating capacity of the HVAC system that servies it. The baseline floor U-factor for the space is established correctly.
</t>
    </r>
    <r>
      <rPr>
        <sz val="10"/>
        <color rgb="FFFF0000"/>
        <rFont val="Arial Nova Cond"/>
        <family val="2"/>
      </rPr>
      <t xml:space="preserve">
</t>
    </r>
  </si>
  <si>
    <t>The baseline floor U Factor is established correctly for a conditioned residential space in climate zone 4A.</t>
  </si>
  <si>
    <r>
      <t xml:space="preserve">Building is located in climate zone 4A and includes a space that has residential occupancy type and is  coditioned based on cooling capacity of the HVAC system that servies it. The baseline floor U-factor for the space is established correctly.
</t>
    </r>
    <r>
      <rPr>
        <sz val="10"/>
        <color rgb="FFFF0000"/>
        <rFont val="Arial Nova Cond"/>
        <family val="2"/>
      </rPr>
      <t xml:space="preserve">
</t>
    </r>
  </si>
  <si>
    <t xml:space="preserve">4A
1                        
11000
29000
1  
1000
Dwelling Unit
1
165
ambient
0.216    
         </t>
  </si>
  <si>
    <r>
      <t xml:space="preserve">Building is located in climate zone 4A and includes a space that has residential occupancy type and is  coditioned based on heating capacity of the HVAC system that servies it. The baseline floor U-factor for the space is not established correctly.
</t>
    </r>
    <r>
      <rPr>
        <sz val="10"/>
        <color rgb="FFFF0000"/>
        <rFont val="Arial Nova Cond"/>
        <family val="2"/>
      </rPr>
      <t xml:space="preserve">
</t>
    </r>
  </si>
  <si>
    <t>The baseline floor U Factor is not established correctly for a conditioned residential space in climate zone 4A.</t>
  </si>
  <si>
    <t xml:space="preserve">4A
1                        
9000
32000
1  
1000
Dwelling Unit
1
165
ambient
0.329   
         </t>
  </si>
  <si>
    <r>
      <t xml:space="preserve">Building is located in climate zone 4A and includes a space that has nonresidential occupancy type and is  coditioned based on heating capacity of the HVAC system that servies it. The baseline floor U-factor for the space is established correctly.
</t>
    </r>
    <r>
      <rPr>
        <sz val="10"/>
        <color rgb="FFFF0000"/>
        <rFont val="Arial Nova Cond"/>
        <family val="2"/>
      </rPr>
      <t xml:space="preserve">
</t>
    </r>
  </si>
  <si>
    <t>The baseline floor U Factor is established correctly for a conditioned nonresidential space in climate zone 4A.</t>
  </si>
  <si>
    <r>
      <t xml:space="preserve">A space has non-residential occupancy type and is semiheated based on heating and cooling capacity of the HVAC system that servies the two spaces that are assigned to it. Building is located in climate zone 4A. The baseline floor U-factor for the space is established correctly.
</t>
    </r>
    <r>
      <rPr>
        <sz val="10"/>
        <color rgb="FFFF0000"/>
        <rFont val="Arial Nova Cond"/>
        <family val="2"/>
      </rPr>
      <t xml:space="preserve">
</t>
    </r>
  </si>
  <si>
    <t>The baseline floor U Factor is established correctly for a semiheated space in climate zone 4A.</t>
  </si>
  <si>
    <t>The baseline floor U Factor is not established correctly for a semiheated space in climate zone 4A.</t>
  </si>
  <si>
    <t xml:space="preserve">4A
1                        
9000
32000
1  
1000
Enclosed Office
1
165
ambient
0.329    
         </t>
  </si>
  <si>
    <r>
      <t xml:space="preserve">A space has non-residential occupancy type and is semiheated based on heating and cooling capacity of the HVAC system that servies the two spaces that are assigned to it. Building is located in climate zone 4A. The baseline floor U-factor for the space is not established correctly.
</t>
    </r>
    <r>
      <rPr>
        <sz val="10"/>
        <color rgb="FFFF0000"/>
        <rFont val="Arial Nova Cond"/>
        <family val="2"/>
      </rPr>
      <t xml:space="preserve">
</t>
    </r>
  </si>
  <si>
    <t xml:space="preserve">4A
1                        
9000
31000
1  
1000
Enclosed Office
1
165
ambient
0.329  
2  
1000
Enclosed Office         </t>
  </si>
  <si>
    <t xml:space="preserve">4A
1                        
9000
32000
1  
1000
Enclosed Office
1
165
ambient
0.392
2  
1000
Enclosed Office         </t>
  </si>
  <si>
    <r>
      <t xml:space="preserve">Building is located in climate zone 4A and includes a space that has residential occupancy type and is  coditioned based on heating capacity of the HVAC system that servies it. The baseline slab-on-grade floor F-factor for the space is established correctly.
</t>
    </r>
    <r>
      <rPr>
        <sz val="10"/>
        <color rgb="FFFF0000"/>
        <rFont val="Arial Nova Cond"/>
        <family val="2"/>
      </rPr>
      <t xml:space="preserve">
</t>
    </r>
  </si>
  <si>
    <t>The baseline slab-on-grade floor F Factor is established correctly for a conditioned residential space in climate zone 4A.</t>
  </si>
  <si>
    <t xml:space="preserve">Building:climate_zone
HVACSystem:ID
HVACSystem:sensible_cool_output_capacity
HVACSystem:heat_output_capacity
Space:ID
Space:floor_area
Space:occupancy_type
Surface:ID
Surface:tilt
Surface:adjacent_to
Surface:F_factor
</t>
  </si>
  <si>
    <t>F-Factor</t>
  </si>
  <si>
    <t xml:space="preserve">4A
1                        
9000
32000
1  
1000
Dwelling Unit
1
165
ground
1.263  
         </t>
  </si>
  <si>
    <t xml:space="preserve">4A
1                        
11000
29000
1  
1000
Dwelling Unit
1
165
ground
1.263   
         </t>
  </si>
  <si>
    <t xml:space="preserve">4A
1                        
9000
32000
1  
1000
Dwelling Unit
1
165
ground
0.329   
         </t>
  </si>
  <si>
    <t>see column 1 of Table G3.1.1-1</t>
  </si>
  <si>
    <t>string</t>
  </si>
  <si>
    <t>bolean</t>
  </si>
  <si>
    <t>area_type_VF</t>
  </si>
  <si>
    <t>Building area type from Table G3.1.1-1 used to determine applicability of the baseline fenestration area rules</t>
  </si>
  <si>
    <t>including or excluding exterior air film?</t>
  </si>
  <si>
    <t xml:space="preserve">- For building area types included in Table G3.1.1-1, vertical fenestration areas for new buildings and additions shall equal that in Table G3.1.1-1 based on the area of gross above-grade walls that separate conditioned spaces and semiheated spaces from the exterior. Where a building has multiple building area types, each type shall use the values in the table. 
- For building areas not shown in Table G3.1.1-1, vertical fenestration areas for new buildings and additions shall equal that in the proposed design or 40% of gross above-grade wall area, whichever is smaller, 
- The fenestration area for an existing building shall equal the existing fenestration area prior to the proposed work 
- The vertical fenestration shall be distributed on each face of the building in the same proportion as in the proposed design. </t>
  </si>
  <si>
    <t>B-RMR total fenestration area on each orientation = expected value</t>
  </si>
  <si>
    <t>Table G3.1.1-1</t>
  </si>
  <si>
    <t>Building, space</t>
  </si>
  <si>
    <t xml:space="preserve">The baseline vertical fenestration area is established correctly and is allocated to surfaces in the same proportion as in proposed design </t>
  </si>
  <si>
    <t>is_new</t>
  </si>
  <si>
    <t>indicates whether building is a new construction or existing. Projects that include additions will be modeled as two buildings - one new and one existing, as curtain rules such as baseline fenestration area will apply differently to each portion</t>
  </si>
  <si>
    <t>true/false</t>
  </si>
  <si>
    <t xml:space="preserve">Building:area_type_VF
Building:is_new
HVACSystem:ID
HVACSystem:sensible_cool_output_capacity
HVACSystem:heat_output_capacity
Space:ID
Space:floor_area
Surface:ID
Surface:tilt
Surface:adjacent_to
Surface:azimuth
Surface:area
VertFenestraton:ID
VertFenestration:area
Surface:ID
Surface:tilt
Surface:adjacent_to
Surface:azimuth
Surface:area
VertFenestraton:ID
VertFenestration:area
Space:ID
Space:floor_area
Surface:ID
Surface:tilt
Surface:adjacent_to
VertFenestraton:ID
VertFenestration:area
Space:ID
Space:floor_area
Space:occupancy_type
 </t>
  </si>
  <si>
    <t xml:space="preserve">Building area type = "school (primary)"; building includes a conditioned space that has two exterior walls with windows.  </t>
  </si>
  <si>
    <t>School (primary)
True
1
9000
32000
1
1000
1
90
exterior 
0
500
1
100
2
90
exterior 
90
1000
2
300</t>
  </si>
  <si>
    <t>School (primary)
True
1
9000
32000
1
1000
1
90
exterior 
0
500
1
82.5
2
90
exterior 
90
1000
2
247.5</t>
  </si>
  <si>
    <t>Building area type = "school (primary)"; building includes a conditioned space that has two exterior walls with windows. Baseline fenestration area is not established correctly.</t>
  </si>
  <si>
    <t>School (primary)
True
1
9000
32000
1
1000
1
90
exterior 
0
500
1
82.5
2
90
exterior 
90
1000
2
300</t>
  </si>
  <si>
    <t xml:space="preserve">Building area type = "school (primary)"; building includes a semiheated space that has two exterior walls with windows.  </t>
  </si>
  <si>
    <t xml:space="preserve">The baseline vertical fenestration area is not established correctly </t>
  </si>
  <si>
    <t>School (primary)
True
1
9000
32000
1
1000
1
90
exterior 
0
500
1
165
2
90
exterior 
90
1000
2
165</t>
  </si>
  <si>
    <t xml:space="preserve">The baseline vertical fenestration area is established correctly but not allocated to diferent </t>
  </si>
  <si>
    <t xml:space="preserve">The baseline vertical fenestration area is established correctly and is allocated to surfaces of conditioned and semiheated spaces in the same proportion as in proposed design </t>
  </si>
  <si>
    <t>School (primary)
True
1
9000
30000
1
1000
1
90
exterior 
0
500
1
100
2
90
exterior 
90
1000
2
300</t>
  </si>
  <si>
    <t>School (primary)
True
1
9000
30000
1
1000
1
90
exterior 
0
500
1
82.5
2
90
exterior 
90
1000
2
247.5</t>
  </si>
  <si>
    <t xml:space="preserve">- For building areas not shown in Table G3.1.1-1, vertical fenestration areas for new buildings and additions shall equal that in the proposed design or 40% of gross above-grade wall area, whichever is smaller, 
- The vertical fenestration shall be distributed on each face of the building in the same proportion as in the proposed design. </t>
  </si>
  <si>
    <t xml:space="preserve">- For building area types included in Table G3.1.1-1, vertical fenestration areas for new buildings and additions shall equal that in Table G3.1.1-1 based on the area of gross above-grade walls that separate conditioned spaces and semiheated spaces from the exterior. Where a building has multiple building area types, each type shall use the values in the table. 
- The vertical fenestration shall be distributed on each face of the building in the same proportion as in the proposed design. </t>
  </si>
  <si>
    <t xml:space="preserve">'- For building area types included in Table G3.1.1-1, vertical fenestration areas for new buildings and additions shall equal that in Table G3.1.1-1 based on the area of gross above-grade walls that separate conditioned spaces and semiheated spaces from the exterior. Where a building has multiple building area types, each type shall use the values in the table. </t>
  </si>
  <si>
    <t xml:space="preserve">Building area type = "multifamily"; building includes a conditioned space that has two exterior walls with windows. Vertical fenestration area in the user model exceeds 40% of wall area of conditioned and semiheated spaces.  </t>
  </si>
  <si>
    <t xml:space="preserve">The baseline vertical fenestration area is established correctly as not exceeding 40% of exterior wall area of conditioned and semiheated spaces and has the same allocation across the azimuths as in the user model. </t>
  </si>
  <si>
    <t>multifamily
True
1
9000
32000
1
1000
1
90
exterior 
0
500
1
200
2
90
exterior 
90
1000
2
800</t>
  </si>
  <si>
    <t>Multifamily
True
1
9000
32000
1
1000
1
90
exterior 
0
500
1
120
2
90
exterior 
90
1000
2
480</t>
  </si>
  <si>
    <t xml:space="preserve">The baseline vertical fenestration area is not established correctly as not exceeding 40% of exterior wall area of conditioned and semiheated spaces  </t>
  </si>
  <si>
    <t>Multifamily
True
1
9000
32000
1
1000
1
90
exterior 
0
500
1
200
2
90
exterior 
90
1000
2
800</t>
  </si>
  <si>
    <t xml:space="preserve">Building area type = "multifamily"; building includes a conditioned space that has two exterior walls with windows. Vertical fenestration area in the user model is below 40% of wall area of conditioned and semiheated spaces.  </t>
  </si>
  <si>
    <t xml:space="preserve">The baseline vertical fenestration area is established correctly as equal to the proposed fenestration area and is distributed the same in the baseline and proposed design  </t>
  </si>
  <si>
    <t>multifamily
True
1
9000
32000
1
1000
1
90
exterior 
0
500
1
300
2
90
exterior 
90
1000
2
200</t>
  </si>
  <si>
    <t xml:space="preserve">- The fenestration area for an existing building shall equal the existing fenestration area prior to the proposed work </t>
  </si>
  <si>
    <t>Building is existing. Fenestration area must be equal to the area prior to the proposed work and cannot be verified by the RCT</t>
  </si>
  <si>
    <t>Building:is_new</t>
  </si>
  <si>
    <t>P-RMR total fenestration area on each orientation = U-RMR values</t>
  </si>
  <si>
    <t>Building area type = "multifamily"; building includes a conditioned space that has two exterior walls with windows. Window area on each exposure in the proposed design is equal to the window area in the user model</t>
  </si>
  <si>
    <t>Proposed</t>
  </si>
  <si>
    <t xml:space="preserve">The proposed vertical fenestration area is established correctly as equal to the fenestration area on each surface in the user model </t>
  </si>
  <si>
    <t>1
1000
1
90
exterior 
0
500
1
300
2
90
exterior 
90
1000
2
200</t>
  </si>
  <si>
    <t>Space:ID
Space:floor_area
Surface:ID
Surface:tilt
Surface:adjacent_to
Surface:azimuth
Surface:area
VertFenestraton:ID
VertFenestration:area
Surface:ID
Surface:tilt
Surface:adjacent_to
Surface:azimuth
Surface:area
VertFenestraton:ID
VertFenestration:area</t>
  </si>
  <si>
    <t>B-RMR Fenestration:U_factor = expected value</t>
  </si>
  <si>
    <r>
      <t xml:space="preserve">A space has non-residential occupancy type and is conditioned based on heating and cooling capacity of the HVAC system that servies it. Building is located in climate zone 4A. The baseline vertical fenestration U-factor for the space is established correctly.
</t>
    </r>
    <r>
      <rPr>
        <sz val="10"/>
        <color rgb="FFFF0000"/>
        <rFont val="Arial Nova Cond"/>
        <family val="2"/>
      </rPr>
      <t xml:space="preserve">
</t>
    </r>
  </si>
  <si>
    <t xml:space="preserve">Building:area_type_VF
+U68:X68Building:is_new
HVACSystem:ID
HVACSystem:sensible_cool_output_capacity
HVACSystem:heat_output_capacity
Space:ID
Space:floor_area
Surface:ID
Surface:tilt
Surface:adjacent_to
Surface:azimuth
Surface:area
VertFenestraton:ID
VertFenestration:area
Surface:ID
Surface:tilt
Surface:adjacent_to
Surface:azimuth
Surface:area
VertFenestraton:ID
VertFenestration:area
Space:ID
Space:floor_area
Surface:ID
Surface:tilt
Surface:adjacent_to
VertFenestraton:ID
VertFenestration:area
Space:ID
Space:floor_area
Space:occupancy_type
 </t>
  </si>
  <si>
    <t>Fenestration</t>
  </si>
  <si>
    <t>area of fenestration including glass and framing</t>
  </si>
  <si>
    <t>U_Factor</t>
  </si>
  <si>
    <t>fenestration U-factor</t>
  </si>
  <si>
    <t>suface U-factor</t>
  </si>
  <si>
    <t>Property_input_type</t>
  </si>
  <si>
    <t>identifies whether construction is entered layer-by-layer or simplified (R-value)</t>
  </si>
  <si>
    <t>layers, simplified</t>
  </si>
  <si>
    <t>fenestration SHGC</t>
  </si>
  <si>
    <t xml:space="preserve">Building:ID
Building:climate_zone
HVACSystem:ID
HVACSystem:sensible_cool_output_capacity
HVACSystem:heat_output_capacity
Space:ID
Space:floor_area
Space:occupancy_type
Surface:ID
Surface:tilt
Surface:adjacent_to
Fenestraton:ID
Fenestration:U-factor
</t>
  </si>
  <si>
    <t>See Lighting Space Type tab Comumn A; column B indicates which space types are considered "residential"</t>
  </si>
  <si>
    <t>1
4A
1
9000
32000
1
1000
Dwelling Unit
1
90
exterior 
1
3.236</t>
  </si>
  <si>
    <t>The baseline vertical fenestration U Factor is established correctly for a conditioned residential space in climate zone 4A.</t>
  </si>
  <si>
    <r>
      <t xml:space="preserve">A space has residential occupancy type and is conditioned based on heating and cooling capacity of the HVAC system that servies it. Building is located in climate zone 4A. The baseline vertical fenestration U-factor for the space is established correctly.
</t>
    </r>
    <r>
      <rPr>
        <sz val="10"/>
        <color rgb="FFFF0000"/>
        <rFont val="Arial Nova Cond"/>
        <family val="2"/>
      </rPr>
      <t xml:space="preserve">
</t>
    </r>
  </si>
  <si>
    <t>The baseline vertical fenestration U Factor is established correctly for a conditioned non-residential space in climate zone 4A.</t>
  </si>
  <si>
    <t>1
4A
1
9000
32000
1
1000
Stairwell
1
90
exterior 
1
3.236</t>
  </si>
  <si>
    <r>
      <t xml:space="preserve">A space is semiheated based on heating and cooling capacity of the HVAC system that servies it. Building is located in climate zone 4A. The baseline vertical fenestration U-factor for the space is established correctly.
</t>
    </r>
    <r>
      <rPr>
        <sz val="10"/>
        <color rgb="FFFF0000"/>
        <rFont val="Arial Nova Cond"/>
        <family val="2"/>
      </rPr>
      <t xml:space="preserve">
</t>
    </r>
  </si>
  <si>
    <t xml:space="preserve">Building:ID
Building:climate_zone
HVACSystem:ID
HVACSystem:sensible_cool_output_capacity
HVACSystem:heat_output_capacity
Space:ID
Space:floor_area
Surface:ID
Surface:tilt
Surface:adjacent_to
Fenestraton:ID
Fenestration:U-factor
</t>
  </si>
  <si>
    <t>4A vert fenestration cond</t>
  </si>
  <si>
    <t>4A vert fenestration semi</t>
  </si>
  <si>
    <t>1
4A
1
9000
30000
1
1000
1
90
exterior 
1
6.927</t>
  </si>
  <si>
    <r>
      <t xml:space="preserve">A space is unconditioned based on heating and cooling capacity of the HVAC system that servies it. Building is located in climate zone 4A. The baseline vertical fenestration U-factor for the space is established correctly.
</t>
    </r>
    <r>
      <rPr>
        <sz val="10"/>
        <color rgb="FFFF0000"/>
        <rFont val="Arial Nova Cond"/>
        <family val="2"/>
      </rPr>
      <t xml:space="preserve">
</t>
    </r>
  </si>
  <si>
    <t>The baseline vertical fenestration U Factor is established correctly for an unconditioned and is equal to U-factor of user model.</t>
  </si>
  <si>
    <t>1
4A
1
9000
10000
1
1000
1
90
exterior 
1
10.123</t>
  </si>
  <si>
    <t xml:space="preserve">Fenestration U-factors for residential, non-residential and semiheated spaces in the baseline model must match the appropriate requirements in Table G3.4-1 through G3.4-8 for </t>
  </si>
  <si>
    <t>fenestration U-factors in the proposed  model must match the user model</t>
  </si>
  <si>
    <t>Fenestration U-factors for unconditioned spaces in the baseline model must match the appropriate U-factors in the user model</t>
  </si>
  <si>
    <t>B-RMR Fenestration:U_factor = U-RMR Fenestration:U_factor</t>
  </si>
  <si>
    <t>P-RMR Fenestration:U_factor = U-RMR Fenestration:U_factor</t>
  </si>
  <si>
    <r>
      <t xml:space="preserve">Fenestration U-factor of the proposed model is equal to the corresponding fenestration U-factor of the user model.
</t>
    </r>
    <r>
      <rPr>
        <sz val="10"/>
        <color rgb="FFFF0000"/>
        <rFont val="Arial Nova Cond"/>
        <family val="2"/>
      </rPr>
      <t xml:space="preserve">
</t>
    </r>
  </si>
  <si>
    <t xml:space="preserve">Vertical fenestration SHGC  shall match the appropriate requirements in Tables G3.4-1 through G3.4-8 </t>
  </si>
  <si>
    <t>B-RMR Fenestration:SHGC = expected value</t>
  </si>
  <si>
    <r>
      <t xml:space="preserve">A space has residential occupancy type and is conditioned based on heating and cooling capacity of the HVAC system that servies it. Building is located in climate zone 4A. The baseline vertical fenestration SHGC for the space is established correctly.
</t>
    </r>
    <r>
      <rPr>
        <sz val="10"/>
        <color rgb="FFFF0000"/>
        <rFont val="Arial Nova Cond"/>
        <family val="2"/>
      </rPr>
      <t xml:space="preserve">
</t>
    </r>
  </si>
  <si>
    <r>
      <t xml:space="preserve">A space has non-residential occupancy type and is conditioned based on heating and cooling capacity of the HVAC system that servies it. Building is located in climate zone 4A. The baseline vertical fenestration SHGC for the space is established correctly.
</t>
    </r>
    <r>
      <rPr>
        <sz val="10"/>
        <color rgb="FFFF0000"/>
        <rFont val="Arial Nova Cond"/>
        <family val="2"/>
      </rPr>
      <t xml:space="preserve">
</t>
    </r>
  </si>
  <si>
    <r>
      <t xml:space="preserve">A space is semiheated based on heating and cooling capacity of the HVAC system that servies it. Building is located in climate zone 4A. The baseline vertical fenestration SHGC for the space is established correctly.
</t>
    </r>
    <r>
      <rPr>
        <sz val="10"/>
        <color rgb="FFFF0000"/>
        <rFont val="Arial Nova Cond"/>
        <family val="2"/>
      </rPr>
      <t xml:space="preserve">
</t>
    </r>
  </si>
  <si>
    <r>
      <t xml:space="preserve">A space is unconditioned based on heating and cooling capacity of the HVAC system that servies it. Building is located in climate zone 4A. The baseline vertical fenestration SHGC for the space is established correctly.
</t>
    </r>
    <r>
      <rPr>
        <sz val="10"/>
        <color rgb="FFFF0000"/>
        <rFont val="Arial Nova Cond"/>
        <family val="2"/>
      </rPr>
      <t xml:space="preserve">
</t>
    </r>
  </si>
  <si>
    <r>
      <t xml:space="preserve">Fenestration U-factor of the proposed model is equal to the corresponding fenestration SHGC of the user model.
</t>
    </r>
    <r>
      <rPr>
        <sz val="10"/>
        <color rgb="FFFF0000"/>
        <rFont val="Arial Nova Cond"/>
        <family val="2"/>
      </rPr>
      <t xml:space="preserve">
</t>
    </r>
  </si>
  <si>
    <t>The baseline vertical fenestration SHGC is established correctly for an unconditioned space and is equal to SHGC of user model.</t>
  </si>
  <si>
    <t>The baseline vertical fenestration SHGC is established correctly for a conditioned non-residential space in climate zone 4A.</t>
  </si>
  <si>
    <t>The baseline vertical fenestration SHGC is established correctly for a conditioned residential space in climate zone 4A.</t>
  </si>
  <si>
    <t xml:space="preserve">Building:ID
Building:climate_zone
HVACSystem:ID
HVACSystem:sensible_cool_output_capacity
HVACSystem:heat_output_capacity
Space:ID
Space:floor_area
Surface:ID
Surface:tilt
Surface:adjacent_to
Fenestraton:ID
Fenestration:SHGC
</t>
  </si>
  <si>
    <t xml:space="preserve">Building:ID
Building:climate_zone
HVACSystem:ID
HVACSystem:sensible_cool_output_capacity
HVACSystem:heat_output_capacity
Space:ID
Space:floor_area
Space:occupancy_type
Surface:ID
Surface:tilt
Surface:adjacent_to
Fenestraton:ID
Fenestration:SHGC
</t>
  </si>
  <si>
    <t>1
4A
1
9000
32000
1
1000
Dwelling Unit
1
90
exterior 
1
0.25</t>
  </si>
  <si>
    <t>1
4A
1
9000
32000
1
1000
Stairwell
1
90
exterior 
1
0.25</t>
  </si>
  <si>
    <t>The baseline vertical fenestration SHGC is established correctly for a semiheated space in climate zone 4A.</t>
  </si>
  <si>
    <t>1
4A
1
9000
30000
1
1000
1
90
exterior 
1
0.4</t>
  </si>
  <si>
    <t>1
4A
1
9000
10000
1
1000
1
90
exterior 
1
6</t>
  </si>
  <si>
    <t>1
4A
1
9000
10000
1
1000
1
90
exterior 
1
0.6</t>
  </si>
  <si>
    <t>The proposed vertical fenestration SHGC is established correctly as equal to SHGC of user model.</t>
  </si>
  <si>
    <t xml:space="preserve">Building:ID
Space:ID
Surface:ID
Surface:tilt
Surface:adjacent_to
Fenestraton:ID
Fenestration:SHGC
</t>
  </si>
  <si>
    <t>1
1
1
90
exterior 
1
10.123</t>
  </si>
  <si>
    <t>Baseline fenestration shall be assumed to be flush with the exterior wall, and no shading projections shall be modeled.</t>
  </si>
  <si>
    <t>Proposed fenestration has the same shading projections as the user model.</t>
  </si>
  <si>
    <t>shading_projections</t>
  </si>
  <si>
    <t>identifies whether fenestration has side fins, overhangs or not flush with wall</t>
  </si>
  <si>
    <t xml:space="preserve">Fenestration </t>
  </si>
  <si>
    <r>
      <t xml:space="preserve">A space has vertical fenestration that is correctly modeled with no shading projections in the baseline.
</t>
    </r>
    <r>
      <rPr>
        <sz val="10"/>
        <color rgb="FFFF0000"/>
        <rFont val="Arial Nova Cond"/>
        <family val="2"/>
      </rPr>
      <t xml:space="preserve">
</t>
    </r>
  </si>
  <si>
    <t>The baseline vertical fenestration is modeled with no shading projectsions as required.</t>
  </si>
  <si>
    <t xml:space="preserve">Building:ID
Space:ID
Surface:ID
Surface:tilt
Surface:adjacent_to
Fenestraton:ID
Fenestration:U-factor
</t>
  </si>
  <si>
    <t xml:space="preserve">Building:ID
Space:ID
Surface:ID
Surface:tilt
Surface:adjacent_to
Fenestraton:ID
Fenestration:shading_projections
</t>
  </si>
  <si>
    <t xml:space="preserve">1
1
1
90
exterior
1
False
</t>
  </si>
  <si>
    <t>The proposed vertical fenestration is modeled with the same shading projectsions as user model.</t>
  </si>
  <si>
    <t xml:space="preserve">1
1
1
90
exterior
1
True
</t>
  </si>
  <si>
    <r>
      <t xml:space="preserve">A space has vertical fenestration that is correctly modeled with the same shading projections in the proposed design as in the user model.
</t>
    </r>
    <r>
      <rPr>
        <sz val="10"/>
        <color rgb="FFFF0000"/>
        <rFont val="Arial Nova Cond"/>
        <family val="2"/>
      </rPr>
      <t xml:space="preserve">
</t>
    </r>
  </si>
  <si>
    <t>P-RMR Fenestration:shading_projections = U-RMR Fenestration:shading_projections</t>
  </si>
  <si>
    <r>
      <t xml:space="preserve">A space has vertical fenestration that is incorrectly modeled with the different shading projections in the proposed design versus in the user model.
</t>
    </r>
    <r>
      <rPr>
        <sz val="10"/>
        <color rgb="FFFF0000"/>
        <rFont val="Arial Nova Cond"/>
        <family val="2"/>
      </rPr>
      <t xml:space="preserve">
</t>
    </r>
  </si>
  <si>
    <t>The proposed vertical fenestration is modeled with the different shading projectsions compared to user model.</t>
  </si>
  <si>
    <t>manual_interior_shades</t>
  </si>
  <si>
    <t>are there manually-operated interior shading such as blinds, curtains or shades</t>
  </si>
  <si>
    <t>automatic_shades</t>
  </si>
  <si>
    <t>are there automatic interior shading such as blinds, curtains or shades</t>
  </si>
  <si>
    <t>Table G3.1 Section 5d baseline column, 5a Exception 4 proposed column</t>
  </si>
  <si>
    <t>Manual fenestration shading devices, such as blinds or shades, shall be modeled or not modeled the same as in the baseline building design.</t>
  </si>
  <si>
    <t>B-RMR Fenestration:manual_interior_shades = P-RMR Fenestration:manual_interior_shades</t>
  </si>
  <si>
    <r>
      <t xml:space="preserve">A space has vertical fenestration that is correctly modeled with the same manual interior shades in the baseline and proposed models.
</t>
    </r>
    <r>
      <rPr>
        <sz val="10"/>
        <color rgb="FFFF0000"/>
        <rFont val="Arial Nova Cond"/>
        <family val="2"/>
      </rPr>
      <t xml:space="preserve">
</t>
    </r>
  </si>
  <si>
    <r>
      <t xml:space="preserve">A space has vertical fenestration that is incorrectly modeled with the different manual interior shades in the baseline and proposed models.
</t>
    </r>
    <r>
      <rPr>
        <sz val="10"/>
        <color rgb="FFFF0000"/>
        <rFont val="Arial Nova Cond"/>
        <family val="2"/>
      </rPr>
      <t xml:space="preserve">
</t>
    </r>
  </si>
  <si>
    <t>The baseline vertical fenestration is modeled with the same manual interior shades as in the proposed design.</t>
  </si>
  <si>
    <t>The baseline vertical fenestration is incorrectly modeled with different manual interior shades as in the proposed design.</t>
  </si>
  <si>
    <t>Manual fenestration shading devices, such as blinds or
shades, shall be modeled or not modeled the same as
in the baseline building design. Automatically controlled
fenestration shades or blinds shall be modeled.</t>
  </si>
  <si>
    <t>Automatically controlled fenestration shading devices must not be modeled in the baseline building design.</t>
  </si>
  <si>
    <t>B-RMR Fenestration:automatic_shades = No</t>
  </si>
  <si>
    <t xml:space="preserve">A space has vertical fenestration that is correctly modeled without automatic interior shades in the baseline. </t>
  </si>
  <si>
    <t>The baseline vertical fenestration is correctly modeled without automatic interior shades in the baseline.</t>
  </si>
  <si>
    <t xml:space="preserve">Building:ID
Space:ID
Surface:ID
Surface:tilt
Surface:adjacent_to
Fenestraton:ID
Fenestration:manual_interior_shades
</t>
  </si>
  <si>
    <t xml:space="preserve">Building:ID
Space:ID
Surface:ID
Surface:tilt
Surface:adjacent_to
Fenestraton:ID
Fenestration:automatic_shades
</t>
  </si>
  <si>
    <t>Table G3.1 Proposed column Section 5a Exception 4 proposed column</t>
  </si>
  <si>
    <t>Automatically controlled fenestration shading devices must be modeled in the proposed design the same as in user model.</t>
  </si>
  <si>
    <t>P-RMR Fenestration:automatic_shades = U-RMR Fenestration:automatic_shades</t>
  </si>
  <si>
    <t xml:space="preserve">A space has vertical fenestration that is correctly modeled with the same automatic interior shades in the proposed design as in the user model. </t>
  </si>
  <si>
    <t>The proposed vertical fenestration is correctly modeled with the same automatic interior shades as the user model.</t>
  </si>
  <si>
    <t xml:space="preserve">
</t>
  </si>
  <si>
    <t>1
1
1
90
exterior
1
False</t>
  </si>
  <si>
    <t>vertical fenestration area in the proposed design must be as-designed</t>
  </si>
  <si>
    <t>Skylight area shall be equal to that in the proposed design or 3%, whichever is smaller. If the skylight area of the proposed design is greater than 3%, baseline skylight area shall be decreased by an identical percentage in all roof components in which skylights are located to reach 3%.</t>
  </si>
  <si>
    <t>B-RMR total skylight area = expected value; B-RMR skylight area on each roof surface = expected value</t>
  </si>
  <si>
    <t xml:space="preserve">The baseline skylight area is established correctly as not exceeding 3% of roof area and has the same allocation across the azimuths and tilts as in the user model. </t>
  </si>
  <si>
    <t xml:space="preserve">Building:ID
Space:ID
Surface:ID
Surface:tilt
Surface:adjacent_to
Surface:azimuth
Surface:area
Fenestraton:ID
Fenestration:area
Surface:ID
Surface:tilt
Surface:adjacent_to
Surface:azimuth
Surface:area
</t>
  </si>
  <si>
    <t xml:space="preserve">1
1
1
59
exterior 
0
1000
1
60
2
59
exterior 
90
1000
</t>
  </si>
  <si>
    <t xml:space="preserve">Building includes a space that has two roof surfaces one of which has skylights. Skylight area in the user model less than 3% of total roof area. Baseline skylight area is correctly modeled as equal to user model and has the same allocation across the azimuths and tilts. </t>
  </si>
  <si>
    <t xml:space="preserve">Building includes a space that has two roof surfaces one of which has skylights. Skylight area in the user model exceeds 3% of total roof area. Baseline skylight area is correctly modeled as not exceeding 3% and with the same allocation across the azimuths and tilts as in user model. </t>
  </si>
  <si>
    <t xml:space="preserve">1
1
1
59
exterior 
0
1000
1
100
2
59
exterior 
90
1000
</t>
  </si>
  <si>
    <t xml:space="preserve">Building includes a space that has two roof surfaces one of which has skylights. Skylight area in the user model exceeds 3% of total roof area. Baseline skylight area is incorrectly modeled as exceeding 3% </t>
  </si>
  <si>
    <t xml:space="preserve">The baseline skylight area is not established correctly and exceeds 3% of roof area. </t>
  </si>
  <si>
    <t xml:space="preserve">Building:ID
Space:ID
Surface:ID
Surface:tilt
Surface:adjacent_to
Surface:area
Fenestraton:ID
Fenestration:area
Surface:ID
Surface:tilt
Surface:adjacent_to
Surface:area
</t>
  </si>
  <si>
    <t xml:space="preserve">1
1
1
59
exterior 
1000
1
100
2
59
exterior 
1000
</t>
  </si>
  <si>
    <t xml:space="preserve">The baseline skylights are not allocated across baseline roof surfaces with different azimuths and tilts correctly as matching the allocation in the user model. </t>
  </si>
  <si>
    <t xml:space="preserve">Building:ID
Space:ID
Surface:ID
Surface:tilt
Surface:adjacent_to
Surface:azimuth
Surface:area
Fenestraton:ID
Fenestration:area
Surface:ID
Surface:tilt
Surface:adjacent_to
Surface:azimuth
Surface:area
Fenestraton:ID
Fenestration:area
</t>
  </si>
  <si>
    <t>Table G3.1 Section 5a, proposed column</t>
  </si>
  <si>
    <t>Skylight area in the proposed design must be the same as in user model for each roof surface</t>
  </si>
  <si>
    <t>P-RMR skylight area = U-RMR skylight area</t>
  </si>
  <si>
    <t xml:space="preserve">Building includes a space that has two roof surfaces one of which has skylights. Skylight area in the proposed model is the same as in user model. </t>
  </si>
  <si>
    <t xml:space="preserve">Building includes a space that has two roof surfaces one of which has skylights. Skylight area in the proposed model is not the same as in user model. </t>
  </si>
  <si>
    <t xml:space="preserve">Building:ID
Space:ID
Surface:ID
Surface:tilt
Surface:adjacent_to
Fenestraton:ID
Fenestration:area
Surface:ID
Surface:tilt
Surface:adjacent_to
Fenestraton:ID
Fenestration:area
</t>
  </si>
  <si>
    <t xml:space="preserve">1
1
1
1
59
exterior 
1
40
2
59
exterior 
1
20
</t>
  </si>
  <si>
    <t xml:space="preserve">1
1
1
1
59
exterior 
1
30
2
59
exterior 
1
30
</t>
  </si>
  <si>
    <t xml:space="preserve">Skylight U-factors for residential, non-residential and semiheated spaces in the baseline model must match the appropriate requirements in Table G3.4-1 through G3.4-8 for </t>
  </si>
  <si>
    <r>
      <t xml:space="preserve">Building is located in climate zone 4A. A space is conditioned and has residential occupancy type. The sklylight U-factor is established correctly.
</t>
    </r>
    <r>
      <rPr>
        <sz val="10"/>
        <color rgb="FFFF0000"/>
        <rFont val="Arial Nova Cond"/>
        <family val="2"/>
      </rPr>
      <t xml:space="preserve">
</t>
    </r>
  </si>
  <si>
    <t>4A skylight residential</t>
  </si>
  <si>
    <t>1
4A
1
9000
32000
1
1000
Dwelling Unit
1
59
exterior 
1
3.293</t>
  </si>
  <si>
    <t>Table G3.1 Section 5e, baseline column</t>
  </si>
  <si>
    <r>
      <t xml:space="preserve">Building is located in climate zone 4A. A space is conditioned and has non-residential occupancy type. The sklylight U-factor is established correctly.
</t>
    </r>
    <r>
      <rPr>
        <sz val="10"/>
        <color rgb="FFFF0000"/>
        <rFont val="Arial Nova Cond"/>
        <family val="2"/>
      </rPr>
      <t xml:space="preserve">
</t>
    </r>
  </si>
  <si>
    <t>The baseline skylight U Factor is established correctly for a conditioned residential space in climate zone 4A.</t>
  </si>
  <si>
    <t>The baseline skylight U Factor is established correctly for a conditioned non-residential space in climate zone 4A.</t>
  </si>
  <si>
    <t>4A skylight non-residential</t>
  </si>
  <si>
    <t>1
4A
1
9000
32000
1
1000
Stairwell
1
59
exterior 
1
3.918</t>
  </si>
  <si>
    <t>4A skylight semiheated</t>
  </si>
  <si>
    <t>1
4A
1
9000
30000
1
1000
1
59
exterior 
1
7.722</t>
  </si>
  <si>
    <t>The baseline skylight U Factor is established correctly for a semiheated space in climate zone 4A.</t>
  </si>
  <si>
    <t>The baseline skylight U Factor is established correctly for an unconditioned space and is equal to U-factor of user model.</t>
  </si>
  <si>
    <t>1
4A
1
9000
10000
1
1000
1
59
exterior 
1
10.123</t>
  </si>
  <si>
    <r>
      <t xml:space="preserve">Skylight U-factor of the proposed model is equal to the corresponding skylight U-factor of the user model.
</t>
    </r>
    <r>
      <rPr>
        <sz val="10"/>
        <color rgb="FFFF0000"/>
        <rFont val="Arial Nova Cond"/>
        <family val="2"/>
      </rPr>
      <t xml:space="preserve">
</t>
    </r>
  </si>
  <si>
    <t>The proposed skylight U Factor is established correctly as equal to U-factor of user model.</t>
  </si>
  <si>
    <t>1
1
1
59
exterior 
1
10.123</t>
  </si>
  <si>
    <t>Building, Space</t>
  </si>
  <si>
    <t>The baseline skylight SHGC is established correctly for a conditioned residential space in climate zone 4A and skylight area 0%-2.0%.</t>
  </si>
  <si>
    <t>2019: Infiltration shall be modeled using the same air leakage rate in both the proposed design and the baseline building design.The air leakage rate of the building envelope (I75Pa) at a fixed building pressure differential of 0.3 in. of water shall be 0.6 cfm/ft2.                                                                                Exceptions: When whole-building air leakage testing, in accordance with ASTM E779, is specified during design and completed after construction, the proposed design air leakage rate of the building envelope shall be as measured.</t>
  </si>
  <si>
    <r>
      <t xml:space="preserve">Building is located in climate zone 4A. It includes a space that has residential occupancy type and are conditioned based on heating and cooling capacity of the HVAC system that servies it. Skylight area in the building is 0%-2.0%. The baseline vertical fenestration SHGC for the space is established correctly.
</t>
    </r>
    <r>
      <rPr>
        <sz val="10"/>
        <color rgb="FFFF0000"/>
        <rFont val="Arial Nova Cond"/>
        <family val="2"/>
      </rPr>
      <t xml:space="preserve">
</t>
    </r>
  </si>
  <si>
    <t>Building:ID
Building:climate_zone
HVACSystem:ID
HVACSystem:sensible_cool_output_capacity
HVACSystem:heat_output_capacity
Space:ID
Space:floor_area
Space:occupancy_type
Surface:ID
Surface:tilt
Surface:adjacent_to
Surface:area
Fenestraton:ID
Fenestration:area
Fenestration:SHGC</t>
  </si>
  <si>
    <t>1
4A
1
9000
32000
1
1000
Dwelling Unit
1
59
exterior 
1000
1
20
0.36</t>
  </si>
  <si>
    <t>The baseline skylight SHGC is established correctly for a conditioned residential space in climate zone 4A and skylight area 2.1%+</t>
  </si>
  <si>
    <t>1
4A
1
9000
32000
1
1000
Dwelling Unit
1
59
exterior 
1000
1
21
0.36</t>
  </si>
  <si>
    <r>
      <t xml:space="preserve">Building is located in climate zone 4A. It includes a space that has residential occupancy type and are conditioned based on heating and cooling capacity of the HVAC system that servies it. Skylight area in the building is 2.1%+. The baseline vertical fenestration SHGC for the space is established correctly.
</t>
    </r>
    <r>
      <rPr>
        <sz val="10"/>
        <color rgb="FFFF0000"/>
        <rFont val="Arial Nova Cond"/>
        <family val="2"/>
      </rPr>
      <t xml:space="preserve">
</t>
    </r>
  </si>
  <si>
    <r>
      <t xml:space="preserve">Building is located in climate zone 4A. It includes a space that has non-residential occupancy type and are conditioned based on heating and cooling capacity of the HVAC system that servies it. Skylight area in the building is 2.1%+. The baseline vertical fenestration SHGC for the space is established correctly.
</t>
    </r>
    <r>
      <rPr>
        <sz val="10"/>
        <color rgb="FFFF0000"/>
        <rFont val="Arial Nova Cond"/>
        <family val="2"/>
      </rPr>
      <t xml:space="preserve">
</t>
    </r>
  </si>
  <si>
    <t>1
4A
1
9000
32000
1
1000
Stairwell
1
59
exterior 
1000
1
21
0.39</t>
  </si>
  <si>
    <t>The baseline skylight SHGC is established correctly for a conditioned non-residential space in climate zone 4A and skylight area 2.1%+</t>
  </si>
  <si>
    <t>The baseline skylight SHGC is established correctly for a semiheated space as equal to that in the user model.</t>
  </si>
  <si>
    <t>Building:ID
HVACSystem:ID
HVACSystem:sensible_cool_output_capacity
HVACSystem:heat_output_capacity
Space:ID
Space:floor_area
Space:occupancy_type
Surface:ID
Surface:tilt
Surface:adjacent_to
Fenestraton:ID
Fenestration:SHGC</t>
  </si>
  <si>
    <t>1
1
9000
30000
1
1000
1
59
exterior 
1
0.4</t>
  </si>
  <si>
    <t xml:space="preserve">Skylight U-factors for semiheated spaces in the baseline model must match the appropriate requirements in Table G3.4-1 through G3.4-8 for </t>
  </si>
  <si>
    <r>
      <t xml:space="preserve">A space is semiheated based on heating and cooling capacity of the HVAC system that servies it. Building is located in climate zone 4A. The baseline skylight SHGC for the space is established correctly as equal to user model.
</t>
    </r>
    <r>
      <rPr>
        <sz val="10"/>
        <color rgb="FFFF0000"/>
        <rFont val="Arial Nova Cond"/>
        <family val="2"/>
      </rPr>
      <t xml:space="preserve">
</t>
    </r>
  </si>
  <si>
    <r>
      <t xml:space="preserve">A space is unconditioned based on heating and cooling capacity of the HVAC system that servies it. The baseline skylight SHGC for the space is established correctly as equal to user model.
</t>
    </r>
    <r>
      <rPr>
        <sz val="10"/>
        <color rgb="FFFF0000"/>
        <rFont val="Arial Nova Cond"/>
        <family val="2"/>
      </rPr>
      <t xml:space="preserve">
</t>
    </r>
  </si>
  <si>
    <t>The baseline skylight SHGC is established correctly for an unconditioned space and is equal to SHGC of user model.</t>
  </si>
  <si>
    <t>1
4A
1
9000
10000
1
1000
1
59
exterior 
1
0.4</t>
  </si>
  <si>
    <t>Skylight U-factors for unconditioned spaces in the baseline model must match the appropriate U-factors in the user model</t>
  </si>
  <si>
    <t>Skylight U-factors in the proposed  model must match the user model</t>
  </si>
  <si>
    <r>
      <t xml:space="preserve">Skylight U-factor of the proposed model is equal to the corresponding fenestration SHGC of the user model.
</t>
    </r>
    <r>
      <rPr>
        <sz val="10"/>
        <color rgb="FFFF0000"/>
        <rFont val="Arial Nova Cond"/>
        <family val="2"/>
      </rPr>
      <t xml:space="preserve">
</t>
    </r>
  </si>
  <si>
    <t>reflectance</t>
  </si>
  <si>
    <t>emittance</t>
  </si>
  <si>
    <t>reflectivity</t>
  </si>
  <si>
    <t>The  baseline roof surfaces shall be modeled using a solar reflectance of 0.30.</t>
  </si>
  <si>
    <t>B-RMR Surface:reflectance = 0.3</t>
  </si>
  <si>
    <r>
      <t xml:space="preserve">The baseline roof reflectance is 0.3 
</t>
    </r>
    <r>
      <rPr>
        <sz val="10"/>
        <color rgb="FFFF0000"/>
        <rFont val="Arial Nova Cond"/>
        <family val="2"/>
      </rPr>
      <t xml:space="preserve">
</t>
    </r>
  </si>
  <si>
    <t>The baseline roor reflectance is modeled correctly as 0.3</t>
  </si>
  <si>
    <t xml:space="preserve">Surface:ID
Surface:tilt
Surface:adjacent_to
Surface:reflectance
</t>
  </si>
  <si>
    <t>1
59
exterior
0.3</t>
  </si>
  <si>
    <r>
      <t xml:space="preserve">The baseline roof reflectance is 0.5 
</t>
    </r>
    <r>
      <rPr>
        <sz val="10"/>
        <color rgb="FFFF0000"/>
        <rFont val="Arial Nova Cond"/>
        <family val="2"/>
      </rPr>
      <t xml:space="preserve">
</t>
    </r>
  </si>
  <si>
    <t>The baseline roor reflectance is not modeled correctly as 0.3</t>
  </si>
  <si>
    <t>1
59
exterior
0.4</t>
  </si>
  <si>
    <t>The  proposed roof surfaces shall be modeled using the same solar reflectance as in the user model.</t>
  </si>
  <si>
    <t>B-RMR Surface:reflectance = U-RMR Surface:reflectance</t>
  </si>
  <si>
    <t>The roof reflectance in user model and proposed design model are the same</t>
  </si>
  <si>
    <t>The proposed roof reflectance is modeled correctly as equal the roof reflectance in user model</t>
  </si>
  <si>
    <t>The  baseline roof surfaces shall be modeled using a thermal emittance of 0.9</t>
  </si>
  <si>
    <t>The  proposed roof surfaces shall be modeled using the same thermal emittance as in the user model.</t>
  </si>
  <si>
    <t>B-RMR Surface:emittance = 0.9</t>
  </si>
  <si>
    <t>B-RMR Surface:emittance = U-RMR Surface:emittance</t>
  </si>
  <si>
    <r>
      <t xml:space="preserve">The baseline roof emittance is 0.9
</t>
    </r>
    <r>
      <rPr>
        <sz val="10"/>
        <color rgb="FFFF0000"/>
        <rFont val="Arial Nova Cond"/>
        <family val="2"/>
      </rPr>
      <t xml:space="preserve">
</t>
    </r>
  </si>
  <si>
    <r>
      <t xml:space="preserve">The baseline roof emittance is 0.5 
</t>
    </r>
    <r>
      <rPr>
        <sz val="10"/>
        <color rgb="FFFF0000"/>
        <rFont val="Arial Nova Cond"/>
        <family val="2"/>
      </rPr>
      <t xml:space="preserve">
</t>
    </r>
  </si>
  <si>
    <t>The roof emittance in user model and proposed design model are the same</t>
  </si>
  <si>
    <t>The baseline roor emittance is modeled correctly as 0.9</t>
  </si>
  <si>
    <t>The baseline roor emittance is not modeled correctly as 0.9</t>
  </si>
  <si>
    <t>The proposed roof emittance is modeled correctly as equal the roof emittance in user model</t>
  </si>
  <si>
    <t xml:space="preserve">Surface:ID
Surface:tilt
Surface:adjacent_to
Surface:emittance
</t>
  </si>
  <si>
    <t>1
59
exterior
0.9</t>
  </si>
  <si>
    <t xml:space="preserve">Surface:ID
Surface:tilt
Surface:adjacent_to
Surface:reflectivity
</t>
  </si>
  <si>
    <t>The proposed roof reflectivity is modeled correctly as equal the roof reflectivity in user model</t>
  </si>
  <si>
    <t>The roof reflectivity in user model and proposed design model are the same</t>
  </si>
  <si>
    <r>
      <t xml:space="preserve">The baseline roof reflectivity is 0.5 
</t>
    </r>
    <r>
      <rPr>
        <sz val="10"/>
        <color rgb="FFFF0000"/>
        <rFont val="Arial Nova Cond"/>
        <family val="2"/>
      </rPr>
      <t xml:space="preserve">
</t>
    </r>
  </si>
  <si>
    <r>
      <t xml:space="preserve">The baseline roof reflectivity is 0.3 
</t>
    </r>
    <r>
      <rPr>
        <sz val="10"/>
        <color rgb="FFFF0000"/>
        <rFont val="Arial Nova Cond"/>
        <family val="2"/>
      </rPr>
      <t xml:space="preserve">
</t>
    </r>
  </si>
  <si>
    <t>B-RMR Surface:reflectivity = 0.3</t>
  </si>
  <si>
    <t>B-RMR Surface:reflectivity = U-RMR Surface:reflectance</t>
  </si>
  <si>
    <t>The  proposed roof surfaces shall be modeled using the same reflectivity as in the user model.</t>
  </si>
  <si>
    <t>The  baseline roof surfaces shall be modeled using reflectivity of 0.30.</t>
  </si>
  <si>
    <t>Infiltration shall be modeled using the same methodology,
air leakage rate, and adjustments for weather and building operation in both the proposed design and the baseline building design. These adjustments shall be made for each simulation time step and must account for but not be limited to weather conditions and HVAC system operation, including strategies that are intended to positively pressurize the building.</t>
  </si>
  <si>
    <t xml:space="preserve">Flow Rate </t>
  </si>
  <si>
    <t>CFM</t>
  </si>
  <si>
    <t>L/s</t>
  </si>
  <si>
    <t>infiltration_modeling_method</t>
  </si>
  <si>
    <t>list of methods</t>
  </si>
  <si>
    <t>90.1 App G, …..</t>
  </si>
  <si>
    <t>"90.1 App G" method includes adjustments for weather and building operation as required by G3.1 #5 b, proposed column</t>
  </si>
  <si>
    <t>The  infiltration modeling method in the baseline includes for adjustment for weather and building operation.</t>
  </si>
  <si>
    <t>B-RMR Space:infiltration_modeling_method = expected value</t>
  </si>
  <si>
    <t>The baseline roof reflectivity is modeled correctly as 0.3</t>
  </si>
  <si>
    <t>The baseline roof reflectivity is not modeled correctly as 0.3</t>
  </si>
  <si>
    <t>The baseline infiltration modeling method account for wather and building operation</t>
  </si>
  <si>
    <t xml:space="preserve">Space:ID
Space:infiltration_modeling_method
</t>
  </si>
  <si>
    <t>1
"90.1 App G"</t>
  </si>
  <si>
    <t>The  infiltration modeling method in the proposed RMR is the same as in the baseline RMR</t>
  </si>
  <si>
    <t>B-RMR Space:infiltration_modeling_method = P-RMR Space:infiltration_modeling_method</t>
  </si>
  <si>
    <r>
      <t xml:space="preserve">The baseline infiltration modeling method accounts for weather and building operation
</t>
    </r>
    <r>
      <rPr>
        <sz val="10"/>
        <color rgb="FFFF0000"/>
        <rFont val="Arial Nova Cond"/>
        <family val="2"/>
      </rPr>
      <t xml:space="preserve">
</t>
    </r>
  </si>
  <si>
    <r>
      <t xml:space="preserve">The proposed infiltration modeling method is the same as the baseline infiltration modeling method
</t>
    </r>
    <r>
      <rPr>
        <sz val="10"/>
        <color rgb="FFFF0000"/>
        <rFont val="Arial Nova Cond"/>
        <family val="2"/>
      </rPr>
      <t xml:space="preserve">
</t>
    </r>
  </si>
  <si>
    <t>The proposed infiltration modeling method is the same as the baseline infiltration modeling method</t>
  </si>
  <si>
    <t>The  infiltration equivalent full load hours are the same in the proposed RMR as in the baseline RMR</t>
  </si>
  <si>
    <t>B-RMR Space:infiltration_EFLH = P-RMR  Space:infiltration_EFLH</t>
  </si>
  <si>
    <r>
      <t xml:space="preserve">The proposed infiltration equivalent full load hours are the same as the baseline infiltration equivalent full load hours
</t>
    </r>
    <r>
      <rPr>
        <sz val="10"/>
        <color rgb="FFFF0000"/>
        <rFont val="Arial Nova Cond"/>
        <family val="2"/>
      </rPr>
      <t xml:space="preserve">
</t>
    </r>
  </si>
  <si>
    <t>The proposed infiltration effective full load hours is the same as the baseline infiltration effective full load hours</t>
  </si>
  <si>
    <t xml:space="preserve">Space:ID
Space:infiltration_EFLH
</t>
  </si>
  <si>
    <t>1
5000</t>
  </si>
  <si>
    <t>infiltration_EFLH</t>
  </si>
  <si>
    <t xml:space="preserve">annual sum of hourly fractions of infiltration schedule </t>
  </si>
  <si>
    <t>&gt;0, &lt;8760</t>
  </si>
  <si>
    <t xml:space="preserve">Building:ID
Building:climate_zone
HVACSystem:ID
HVACSystem:sensible_cool_output_capacity
HVACSystem:heat_output_capacity
Space:ID
Space:floor_area
Space:infiltration_rate
Surface:ID
Surface:adjacent_to
Surface:area
</t>
  </si>
  <si>
    <t>SF</t>
  </si>
  <si>
    <t xml:space="preserve">Building </t>
  </si>
  <si>
    <t>Sum of B-RMR Space:infiltration_rate of all conditioned and semiheated spaces = expected value</t>
  </si>
  <si>
    <t>Sum of B-RMR Space:infiltration_rate of all conditioned and semiheated spaces = expected valu</t>
  </si>
  <si>
    <t>The baseline infiltration flow rate at wind pressure is established correctly based on the envelope pressure boundary</t>
  </si>
  <si>
    <t>Building is located in climate zone 4A. A space is conditioned and includes one exterior surface. The baseline infiltration flow rate is established correctly.</t>
  </si>
  <si>
    <t>Building is located in climate zone 4A. A space is semiheated and includes one exterior surface. The baseline infiltration flow rate is established correctly.</t>
  </si>
  <si>
    <t>Building is located in climate zone 4A. A space is conditioned and includes one surface that is adjacent to ground. The baseline infiltration flow rate is established correctly.</t>
  </si>
  <si>
    <t>Building is located in climate zone 4A. A space is semiheated and includes one surface that is adjacent to ground. The baseline infiltration flow rate is established correctly.</t>
  </si>
  <si>
    <t>1
4A
1
9000
32000
1
1000
42.3
1
ground
2000</t>
  </si>
  <si>
    <t>Building is located in climate zone 4A. A space is conditioned and includes one surface that is adjacent to a semiheated space. The baseline infiltration flow rate is established correctly.</t>
  </si>
  <si>
    <t>adjacent_space_ID</t>
  </si>
  <si>
    <t>ID of the adjacent space for interior surface</t>
  </si>
  <si>
    <t xml:space="preserve">Building:ID
Building:climate_zone
HVACSystem:ID
HVACSystem:sensible_cool_output_capacity
HVACSystem:heat_output_capacity
Space:ID
Space:floor_area
Space:infiltration_rate
Surface:ID
Surface:adjacent_to
Surface:adjacent_space_ID
Surface:area
HVACSystem:ID
HVACSystem:sensible_cool_output_capacity
HVACSystem:heat_output_capacity
Space:ID
Space:floor_area
</t>
  </si>
  <si>
    <t>1
4A
1
9000
30000
1
1000
42.3
1
interior
2
2000
1
9000
10000
1
1000</t>
  </si>
  <si>
    <t>Building is located in climate zone 4A. A space is semiheated and includes one surface that is adjacent to an unconditioned space. The baseline infiltration flow rate is established correctly.</t>
  </si>
  <si>
    <t>The proposed air leakage rate is the same as the baseline air leakage rate</t>
  </si>
  <si>
    <t>Shading by adjacent structures and terrain is the same in the baseline and proposed.</t>
  </si>
  <si>
    <t>B-RMR project:site_shading = P-RMR project:site_shading</t>
  </si>
  <si>
    <t>project</t>
  </si>
  <si>
    <t>Project:ID
Project:site_shading</t>
  </si>
  <si>
    <t>1
False</t>
  </si>
  <si>
    <t>Site shading is not modeled in either the baseline or proposed design</t>
  </si>
  <si>
    <t>There is site shading in the baseline and proposed design. It must be verified that the site shading is the same in both models</t>
  </si>
  <si>
    <t>1
True</t>
  </si>
  <si>
    <t>Shading by adjacent structures and terrain is the same in the proposed design as in user model.</t>
  </si>
  <si>
    <t>P-RMR project:site_shading = U-RMR project:site_shading</t>
  </si>
  <si>
    <r>
      <t xml:space="preserve">There is no site shading in either baseline or proposed design
</t>
    </r>
    <r>
      <rPr>
        <sz val="10"/>
        <color rgb="FFFF0000"/>
        <rFont val="Arial Nova Cond"/>
        <family val="2"/>
      </rPr>
      <t xml:space="preserve">
</t>
    </r>
  </si>
  <si>
    <t>Site shading is included in both the baseline and proposed design</t>
  </si>
  <si>
    <t>Site shading is not the same in the baseline and proposed design</t>
  </si>
  <si>
    <t xml:space="preserve">There is site shading in the baseline but no side shading in the proposed design. </t>
  </si>
  <si>
    <t xml:space="preserve">There is no site shading in the user model and proposed design model. </t>
  </si>
  <si>
    <t>There is no site shading in either the proposed design or the user model</t>
  </si>
  <si>
    <t>There is site shading in both the proposed design or the user model</t>
  </si>
  <si>
    <t xml:space="preserve">There is site shading in the user model and proposed design model. Manual review is required to verify that it is the same. </t>
  </si>
  <si>
    <t>There is site shading in the user model but not in the proposed design model</t>
  </si>
  <si>
    <t xml:space="preserve">There is site shading in the user model but not in the proposed design model. </t>
  </si>
  <si>
    <t>RMR Test?</t>
  </si>
  <si>
    <t>ID</t>
  </si>
  <si>
    <t>May include multiple buildings</t>
  </si>
  <si>
    <t>A space or group of spaces with the same building area type</t>
  </si>
  <si>
    <t>building envelope: the exterior plus the semiexterior portions of a building. 
For the purposes of determining building envelope requirements, the classifications are defined as follows:
exterior building envelope: the elements of a building that separate conditioned spaces
from the exterior.
semiexterior building envelope: the elements of a building that separate conditioned space from unconditioned space or that enclose semiheated spaces through which thermal
energy may be transferred to or from the exterior, to or from unconditioned spaces, or to or from conditioned spaces.</t>
  </si>
  <si>
    <t>Yes</t>
  </si>
  <si>
    <t>Air-side HVAC system</t>
  </si>
  <si>
    <t>SPACE</t>
  </si>
  <si>
    <t>PROJECT</t>
  </si>
  <si>
    <t>BUILDING</t>
  </si>
  <si>
    <t>SURFACE</t>
  </si>
  <si>
    <t>wall, roof, floor adjacent to exterior, ground or another space</t>
  </si>
  <si>
    <t>FENESTRATION</t>
  </si>
  <si>
    <t>vertical fenestration or skylight</t>
  </si>
  <si>
    <t>B-RMR project:ground_T = P-RMR project:ground_T</t>
  </si>
  <si>
    <r>
      <t xml:space="preserve">The same ground temperature is used in the baseline and proposed design models
</t>
    </r>
    <r>
      <rPr>
        <sz val="10"/>
        <color rgb="FFFF0000"/>
        <rFont val="Arial Nova Cond"/>
        <family val="2"/>
      </rPr>
      <t xml:space="preserve">
</t>
    </r>
  </si>
  <si>
    <t>Project:ID
Project:ground_T_Jan
Project:ground_T_Feb
Project:ground_T_Mar
Project:ground_T_Apr
Project:ground_T_May
Project:ground_T_Jun
Project:ground_T_Jul
Project:ground_T_Aug
Project:ground_T_Sep
Project:ground_T_Oct
Project:ground_T_Nov
Project:ground_T_Dec</t>
  </si>
  <si>
    <t xml:space="preserve">1
45
42
42
45
50
50
50
52
50
48
45
45
</t>
  </si>
  <si>
    <t>ground_T_Jan</t>
  </si>
  <si>
    <t>ground_T_Feb</t>
  </si>
  <si>
    <t>ground_T_Mar</t>
  </si>
  <si>
    <t>ground_T_Apr</t>
  </si>
  <si>
    <t>ground_T_May</t>
  </si>
  <si>
    <t>ground_T_Jun</t>
  </si>
  <si>
    <t>ground_T_Jul</t>
  </si>
  <si>
    <t>ground_T_Aug</t>
  </si>
  <si>
    <t>ground_T_Sep</t>
  </si>
  <si>
    <t>ground_T_Oct</t>
  </si>
  <si>
    <t>ground_T_Nov</t>
  </si>
  <si>
    <t>ground_T_Dec</t>
  </si>
  <si>
    <t>modeled monthly ground temperatures</t>
  </si>
  <si>
    <t>num</t>
  </si>
  <si>
    <t>Must Match between U-RMR and P-RMR?</t>
  </si>
  <si>
    <t>Must Match between P-RMR and B-RMR?</t>
  </si>
  <si>
    <t>Table G3.1 Section 5 baseline column</t>
  </si>
  <si>
    <t>B-RMR includes the same Building IDs as P-RMR</t>
  </si>
  <si>
    <r>
      <t xml:space="preserve">Building IDs are the same in B-RMR and P-RMR
</t>
    </r>
    <r>
      <rPr>
        <sz val="10"/>
        <color rgb="FFFF0000"/>
        <rFont val="Arial Nova Cond"/>
        <family val="2"/>
      </rPr>
      <t xml:space="preserve">
</t>
    </r>
  </si>
  <si>
    <t xml:space="preserve">Project:ID
Building:ID
Building:ID
</t>
  </si>
  <si>
    <t xml:space="preserve">1
1
2
</t>
  </si>
  <si>
    <r>
      <t xml:space="preserve">Building IDs are not the same in B-RMR and P-RMR
</t>
    </r>
    <r>
      <rPr>
        <sz val="10"/>
        <color rgb="FFFF0000"/>
        <rFont val="Arial Nova Cond"/>
        <family val="2"/>
      </rPr>
      <t xml:space="preserve">
</t>
    </r>
  </si>
  <si>
    <t xml:space="preserve">1
1
</t>
  </si>
  <si>
    <r>
      <t xml:space="preserve">Space IDs are the same in B-RMR and P-RMR
</t>
    </r>
    <r>
      <rPr>
        <sz val="10"/>
        <color rgb="FFFF0000"/>
        <rFont val="Arial Nova Cond"/>
        <family val="2"/>
      </rPr>
      <t xml:space="preserve">
</t>
    </r>
  </si>
  <si>
    <t xml:space="preserve">Building:ID
Space:ID
Space:ID
</t>
  </si>
  <si>
    <t>B-RMR includes the same space IDs as P-RMR</t>
  </si>
  <si>
    <r>
      <t xml:space="preserve">Space IDs are not the same in B-RMR and P-RMR
</t>
    </r>
    <r>
      <rPr>
        <sz val="10"/>
        <color rgb="FFFF0000"/>
        <rFont val="Arial Nova Cond"/>
        <family val="2"/>
      </rPr>
      <t xml:space="preserve">
</t>
    </r>
  </si>
  <si>
    <t>B-RMR includes the same Space IDs as P-RMR</t>
  </si>
  <si>
    <t>For the given Space ID, floor area is the same between B-RMR and P-RMR</t>
  </si>
  <si>
    <r>
      <t xml:space="preserve">Floor area is the same in B-RMR and P-RMR for the given Space ID
</t>
    </r>
    <r>
      <rPr>
        <sz val="10"/>
        <color rgb="FFFF0000"/>
        <rFont val="Arial Nova Cond"/>
        <family val="2"/>
      </rPr>
      <t xml:space="preserve">
</t>
    </r>
  </si>
  <si>
    <t xml:space="preserve">1
1
3
</t>
  </si>
  <si>
    <r>
      <t xml:space="preserve">For each Spaces ID in B-RMR there is a matching Space ID in P-RMR
</t>
    </r>
    <r>
      <rPr>
        <sz val="10"/>
        <color rgb="FFFF0000"/>
        <rFont val="Arial Nova Cond"/>
        <family val="2"/>
      </rPr>
      <t xml:space="preserve">
</t>
    </r>
  </si>
  <si>
    <r>
      <t xml:space="preserve">Spaces ID in B-RMR and P-RMR do not match
</t>
    </r>
    <r>
      <rPr>
        <sz val="10"/>
        <color rgb="FFFF0000"/>
        <rFont val="Arial Nova Cond"/>
        <family val="2"/>
      </rPr>
      <t xml:space="preserve">
</t>
    </r>
  </si>
  <si>
    <t xml:space="preserve">Space:ID
Space:floor_area
</t>
  </si>
  <si>
    <t>2
1000</t>
  </si>
  <si>
    <t xml:space="preserve">2
1000
</t>
  </si>
  <si>
    <r>
      <t xml:space="preserve">Floor area is not the same in B-RMR and P-RMR for the given Space ID
</t>
    </r>
    <r>
      <rPr>
        <sz val="10"/>
        <color rgb="FFFF0000"/>
        <rFont val="Arial Nova Cond"/>
        <family val="2"/>
      </rPr>
      <t xml:space="preserve">
</t>
    </r>
  </si>
  <si>
    <t xml:space="preserve">2
1010
</t>
  </si>
  <si>
    <r>
      <t xml:space="preserve">Floor area is the same in U-RMR and P-RMR for the given Space ID
</t>
    </r>
    <r>
      <rPr>
        <sz val="10"/>
        <color rgb="FFFF0000"/>
        <rFont val="Arial Nova Cond"/>
        <family val="2"/>
      </rPr>
      <t xml:space="preserve">
</t>
    </r>
  </si>
  <si>
    <t>For the given Space ID, B-RMR and P-RMR include the same Surface IDs</t>
  </si>
  <si>
    <t>Space includes the same Surface IDs in the B-RMR and P-RMR</t>
  </si>
  <si>
    <t xml:space="preserve">Space:ID
Surface:ID
Surface:ID
Surface:ID
</t>
  </si>
  <si>
    <r>
      <t xml:space="preserve">A space in P-RMR includes three Surface IDs; there are the same Surface IDs in the B-RMR
</t>
    </r>
    <r>
      <rPr>
        <sz val="10"/>
        <color rgb="FFFF0000"/>
        <rFont val="Arial Nova Cond"/>
        <family val="2"/>
      </rPr>
      <t xml:space="preserve">
</t>
    </r>
  </si>
  <si>
    <t>1
1
2
3</t>
  </si>
  <si>
    <r>
      <t xml:space="preserve">A space in P-RMR includes three Surface IDs; Surface IDs in the B-RMR are not the same
</t>
    </r>
    <r>
      <rPr>
        <sz val="10"/>
        <color rgb="FFFF0000"/>
        <rFont val="Arial Nova Cond"/>
        <family val="2"/>
      </rPr>
      <t xml:space="preserve">
</t>
    </r>
  </si>
  <si>
    <t>Space does not include the same Surface IDs in the B-RMR and P-RMR</t>
  </si>
  <si>
    <t>1
1
3
4</t>
  </si>
  <si>
    <r>
      <t xml:space="preserve">A space in U-RMR includes three Surface IDs; Surface IDs in the P-RMR are the same
</t>
    </r>
    <r>
      <rPr>
        <sz val="10"/>
        <color rgb="FFFF0000"/>
        <rFont val="Arial Nova Cond"/>
        <family val="2"/>
      </rPr>
      <t xml:space="preserve">
</t>
    </r>
  </si>
  <si>
    <t>Space has the same Surface IDs in the U-RMR and P-RMR</t>
  </si>
  <si>
    <t>For the given Surface ID, tilt, azimuth, boundary conditions and area are the same between B-RMR and P-RMR</t>
  </si>
  <si>
    <r>
      <t xml:space="preserve">A surface has the same tilt, azimuth, boundary conditions and area in B-RMR and P-RMR
</t>
    </r>
    <r>
      <rPr>
        <sz val="10"/>
        <color rgb="FFFF0000"/>
        <rFont val="Arial Nova Cond"/>
        <family val="2"/>
      </rPr>
      <t xml:space="preserve">
</t>
    </r>
  </si>
  <si>
    <t xml:space="preserve">Surface:ID
Surface:tilt
Surface:azimuth
Surface:adjacent_to
Surface:adjacent_space_ID
Surface_area
</t>
  </si>
  <si>
    <t>1
50
90
exterior
null
1000</t>
  </si>
  <si>
    <t xml:space="preserve">1
50
90
exterior
null
1000
</t>
  </si>
  <si>
    <r>
      <t xml:space="preserve">A surface has the same azimuth, boundary conditions and area but different tilt in B-RMR and P-RMR
</t>
    </r>
    <r>
      <rPr>
        <sz val="10"/>
        <color rgb="FFFF0000"/>
        <rFont val="Arial Nova Cond"/>
        <family val="2"/>
      </rPr>
      <t xml:space="preserve">
</t>
    </r>
  </si>
  <si>
    <r>
      <t xml:space="preserve">A surface has different tilt in B-RMR and P-RMR
</t>
    </r>
    <r>
      <rPr>
        <sz val="10"/>
        <color rgb="FFFF0000"/>
        <rFont val="Arial Nova Cond"/>
        <family val="2"/>
      </rPr>
      <t xml:space="preserve">
</t>
    </r>
  </si>
  <si>
    <t>1
60
90
exterior
null
1000</t>
  </si>
  <si>
    <r>
      <t xml:space="preserve">A surface has the same tilt, azimuth, boundary conditions and area in U-RMR and P-RMR
</t>
    </r>
    <r>
      <rPr>
        <sz val="10"/>
        <color rgb="FFFF0000"/>
        <rFont val="Arial Nova Cond"/>
        <family val="2"/>
      </rPr>
      <t xml:space="preserve">
</t>
    </r>
  </si>
  <si>
    <t>For the given Surface ID, B-RMR and P-RMR include the same Fenestration IDs</t>
  </si>
  <si>
    <r>
      <t xml:space="preserve">A surface in P-RMR includes three Fenestration IDs; there are the same Fenestration IDs in the B-RMR
</t>
    </r>
    <r>
      <rPr>
        <sz val="10"/>
        <color rgb="FFFF0000"/>
        <rFont val="Arial Nova Cond"/>
        <family val="2"/>
      </rPr>
      <t xml:space="preserve">
</t>
    </r>
  </si>
  <si>
    <r>
      <t xml:space="preserve">A surface in P-RMR includes three Fenestration IDs; the Fenestration IDs in the B-RMR are not the same
</t>
    </r>
    <r>
      <rPr>
        <sz val="10"/>
        <color rgb="FFFF0000"/>
        <rFont val="Arial Nova Cond"/>
        <family val="2"/>
      </rPr>
      <t xml:space="preserve">
</t>
    </r>
  </si>
  <si>
    <r>
      <t xml:space="preserve">A surface in U-RMR includes three Fenestration IDs; Fenestration IDs in the P-RMR are the same
</t>
    </r>
    <r>
      <rPr>
        <sz val="10"/>
        <color rgb="FFFF0000"/>
        <rFont val="Arial Nova Cond"/>
        <family val="2"/>
      </rPr>
      <t xml:space="preserve">
</t>
    </r>
  </si>
  <si>
    <t>Surface includes the same Fenestration IDs in the B-RMR and P-RMR</t>
  </si>
  <si>
    <t>Surface does not include the same Fenestration IDs in the B-RMR and P-RMR</t>
  </si>
  <si>
    <t>Surface has the same Fenestration IDs in the U-RMR and P-RMR</t>
  </si>
  <si>
    <t xml:space="preserve">Surface:ID
Fenestration:ID
Fenestration:ID
Fenestration:ID
</t>
  </si>
  <si>
    <t>For the given Fenestration ID ID, the area is the same between B-RMR and P-RMR</t>
  </si>
  <si>
    <t>For the given Fenestration ID, the area is the same between B-RMR and P-RMR</t>
  </si>
  <si>
    <r>
      <t xml:space="preserve">A fenestration object has the same area in B-RMR and P-RMR
</t>
    </r>
    <r>
      <rPr>
        <sz val="10"/>
        <color rgb="FFFF0000"/>
        <rFont val="Arial Nova Cond"/>
        <family val="2"/>
      </rPr>
      <t xml:space="preserve">
</t>
    </r>
  </si>
  <si>
    <r>
      <t xml:space="preserve">A fenestration object has different area in B-RMR and P-RMR
</t>
    </r>
    <r>
      <rPr>
        <sz val="10"/>
        <color rgb="FFFF0000"/>
        <rFont val="Arial Nova Cond"/>
        <family val="2"/>
      </rPr>
      <t xml:space="preserve">
</t>
    </r>
  </si>
  <si>
    <r>
      <t xml:space="preserve">A fenestration object has the same area in U-RMR and P-RMR
</t>
    </r>
    <r>
      <rPr>
        <sz val="10"/>
        <color rgb="FFFF0000"/>
        <rFont val="Arial Nova Cond"/>
        <family val="2"/>
      </rPr>
      <t xml:space="preserve">
</t>
    </r>
  </si>
  <si>
    <r>
      <t xml:space="preserve">Fenestration object has the same area in B-RMR and P-RMR
</t>
    </r>
    <r>
      <rPr>
        <sz val="10"/>
        <color rgb="FFFF0000"/>
        <rFont val="Arial Nova Cond"/>
        <family val="2"/>
      </rPr>
      <t xml:space="preserve">
</t>
    </r>
  </si>
  <si>
    <r>
      <t xml:space="preserve">Fenestration object has different tilt in B-RMR and P-RMR
</t>
    </r>
    <r>
      <rPr>
        <sz val="10"/>
        <color rgb="FFFF0000"/>
        <rFont val="Arial Nova Cond"/>
        <family val="2"/>
      </rPr>
      <t xml:space="preserve">
</t>
    </r>
  </si>
  <si>
    <r>
      <t xml:space="preserve">Fenestration object has the same area in U-RMR and P-RMR
</t>
    </r>
    <r>
      <rPr>
        <sz val="10"/>
        <color rgb="FFFF0000"/>
        <rFont val="Arial Nova Cond"/>
        <family val="2"/>
      </rPr>
      <t xml:space="preserve">
</t>
    </r>
  </si>
  <si>
    <t xml:space="preserve">Fenestration:ID
Fenestration:area
</t>
  </si>
  <si>
    <t xml:space="preserve">1
50
</t>
  </si>
  <si>
    <t xml:space="preserve">1
60
</t>
  </si>
  <si>
    <t>Decision ID</t>
  </si>
  <si>
    <t>90.1 Section</t>
  </si>
  <si>
    <t>Section 3</t>
  </si>
  <si>
    <t>Outcome</t>
  </si>
  <si>
    <t>90.1 Language</t>
  </si>
  <si>
    <t>wall: portion of the building envelope, including opaque area and fenestration, that is vertical or tilted at an angle of 60 degrees from horizontal or greater. This includes above and below-grade walls, between floor spandrels, peripheral edges of floors, and foundation walls.</t>
  </si>
  <si>
    <r>
      <t xml:space="preserve">Classify surfaces as </t>
    </r>
    <r>
      <rPr>
        <b/>
        <sz val="11"/>
        <color theme="1"/>
        <rFont val="Calibri"/>
        <family val="2"/>
        <scheme val="minor"/>
      </rPr>
      <t>wall</t>
    </r>
    <r>
      <rPr>
        <sz val="11"/>
        <color theme="1"/>
        <rFont val="Calibri"/>
        <family val="2"/>
        <scheme val="minor"/>
      </rPr>
      <t xml:space="preserve"> if </t>
    </r>
    <r>
      <rPr>
        <sz val="11"/>
        <color rgb="FFFF0000"/>
        <rFont val="Calibri"/>
        <family val="2"/>
        <scheme val="minor"/>
      </rPr>
      <t>Surface:adjacent_to=exterior AND</t>
    </r>
    <r>
      <rPr>
        <sz val="11"/>
        <color theme="1"/>
        <rFont val="Calibri"/>
        <family val="2"/>
        <scheme val="minor"/>
      </rPr>
      <t xml:space="preserve"> Surface:tilt &gt;=60 AND &lt; =120 </t>
    </r>
  </si>
  <si>
    <r>
      <t xml:space="preserve">Classify surfaces as </t>
    </r>
    <r>
      <rPr>
        <b/>
        <sz val="11"/>
        <color theme="1"/>
        <rFont val="Calibri"/>
        <family val="2"/>
        <scheme val="minor"/>
      </rPr>
      <t>roof</t>
    </r>
    <r>
      <rPr>
        <sz val="11"/>
        <color theme="1"/>
        <rFont val="Calibri"/>
        <family val="2"/>
        <scheme val="minor"/>
      </rPr>
      <t xml:space="preserve"> if </t>
    </r>
    <r>
      <rPr>
        <sz val="11"/>
        <color rgb="FFFF0000"/>
        <rFont val="Calibri"/>
        <family val="2"/>
        <scheme val="minor"/>
      </rPr>
      <t>Surface:adjacent_to=exterior</t>
    </r>
    <r>
      <rPr>
        <sz val="11"/>
        <color theme="1"/>
        <rFont val="Calibri"/>
        <family val="2"/>
        <scheme val="minor"/>
      </rPr>
      <t xml:space="preserve"> AND Surface:tilt &lt; 60</t>
    </r>
  </si>
  <si>
    <r>
      <t xml:space="preserve">Classify surfaces as </t>
    </r>
    <r>
      <rPr>
        <b/>
        <sz val="11"/>
        <color theme="1"/>
        <rFont val="Calibri"/>
        <family val="2"/>
        <scheme val="minor"/>
      </rPr>
      <t>floor</t>
    </r>
    <r>
      <rPr>
        <sz val="11"/>
        <color theme="1"/>
        <rFont val="Calibri"/>
        <family val="2"/>
        <scheme val="minor"/>
      </rPr>
      <t xml:space="preserve"> if </t>
    </r>
    <r>
      <rPr>
        <sz val="11"/>
        <color rgb="FFFF0000"/>
        <rFont val="Calibri"/>
        <family val="2"/>
        <scheme val="minor"/>
      </rPr>
      <t>Surface:adjacent_to=exterior AND</t>
    </r>
    <r>
      <rPr>
        <sz val="11"/>
        <color theme="1"/>
        <rFont val="Calibri"/>
        <family val="2"/>
        <scheme val="minor"/>
      </rPr>
      <t xml:space="preserve"> Surface:tilt &gt;=120 AND &lt; =240 </t>
    </r>
  </si>
  <si>
    <t>Pass / Fail / Manual Check Required</t>
  </si>
  <si>
    <t>Rule Dependencies (triggers)</t>
  </si>
  <si>
    <t>cast_shade</t>
  </si>
  <si>
    <t>determines whether the surface is modeled as casting shade on other exterior surfaces</t>
  </si>
  <si>
    <t>Baseline building must be modeled so that it doesn't shade itself</t>
  </si>
  <si>
    <t>Baseline RMR Surface:cast_shade=false</t>
  </si>
  <si>
    <t>Baseline exterior surface does not cast shade</t>
  </si>
  <si>
    <t>1
exterior
False</t>
  </si>
  <si>
    <r>
      <t xml:space="preserve">Orientation. The baseline building performance shall be generated by simulating the building with its actual orientation and again after rotating the entire building 90, 180,and 270 degrees, then averaging the results. </t>
    </r>
    <r>
      <rPr>
        <sz val="8"/>
        <rFont val="Franklin Gothic Book"/>
        <family val="2"/>
      </rPr>
      <t>The building shall be modeled so that it does not shade itself.</t>
    </r>
    <r>
      <rPr>
        <sz val="8"/>
        <color theme="1"/>
        <rFont val="Franklin Gothic Book"/>
        <family val="2"/>
      </rPr>
      <t xml:space="preserve">
Exceptions: 
1. If it can be demonstrated to the satisfaction of the rating authority that the building orientation is dictated by site considerations. 
2. Buildings where the vertical fenestration area on each orientation varies by less than 5%.</t>
    </r>
  </si>
  <si>
    <t>1. Calculate the total vertical fenestration area on exterior walls with each unique azimuths. Surface tilt doesn't matter as long as it is 60 degrees or greater (i.e. surface qualifies as exterior wall). 
2. Determine the minimum and the maximum fenestration area per azimuth.
3. If the maximum is 105% or more of the minimum, the baseline must be rotated</t>
  </si>
  <si>
    <t>90.1 Questions</t>
  </si>
  <si>
    <r>
      <t>if building doesn’t have exterior walls on all exposures – e.g. has party walls on three sides and exterior walls with windows on one side, does it meet the exception for “</t>
    </r>
    <r>
      <rPr>
        <i/>
        <sz val="8.5"/>
        <color theme="1"/>
        <rFont val="Arial"/>
        <family val="2"/>
      </rPr>
      <t xml:space="preserve">vertical fenestration area </t>
    </r>
    <r>
      <rPr>
        <sz val="8.5"/>
        <color theme="1"/>
        <rFont val="Arial"/>
        <family val="2"/>
      </rPr>
      <t xml:space="preserve">on each </t>
    </r>
    <r>
      <rPr>
        <i/>
        <sz val="8.5"/>
        <color theme="1"/>
        <rFont val="Arial"/>
        <family val="2"/>
      </rPr>
      <t xml:space="preserve">orientation </t>
    </r>
    <r>
      <rPr>
        <sz val="8.5"/>
        <color theme="1"/>
        <rFont val="Arial"/>
        <family val="2"/>
      </rPr>
      <t>varies by less than 5%”? It appears that the answer for that is yes based on definition of 
orientation
orientation: the direction an envelope element faces, i.e., the direction of a vector perpendicular to and pointing away from the surface outside of the element.</t>
    </r>
  </si>
  <si>
    <t xml:space="preserve">As discussed in a prior email exchange, I think we need four baseline RMRs (B-RMR), one for each exposure (e.g. B0-RMR, B90-RMR, B-180RMR, B270-RMR). In addition to having different surface orientations, these RMRs will have different HVAC system capacities which may result in different space conditioning categories and envelope U-values. For simplicity, the test cases use Building:is_rotated attribute as placeholder for these additional tests.  </t>
  </si>
  <si>
    <t>Baseline vertical fenestration area is determined correctly (Rule 7)</t>
  </si>
  <si>
    <t>vertical fenestration: all areas (including the frames) in the building envelope that let in light, including windows, plastic panels, clerestories, roof monitors, doors that are more
than one-half glass, and glass block walls except skylights</t>
  </si>
  <si>
    <t>Classify fenesration as skylight if parent surface tilt &lt;60</t>
  </si>
  <si>
    <t>Classify fenestration as vertical fenestration if parent surface tilt &gt;=60 AND &lt;=120</t>
  </si>
  <si>
    <t>skylight: a fenestration on a having a slope of less than 60 degrees from the horizontal plane. Other fenestration, even if mounted on the roof of a building, is considered vertical fenestration.</t>
  </si>
  <si>
    <t>Is surface classified as exterior building envelope?</t>
  </si>
  <si>
    <t>Is surface classified as semiexterior building envelope?</t>
  </si>
  <si>
    <t>exterior building envelope: the elements of a building that separate conditioned spaces from the exterior.</t>
  </si>
  <si>
    <t>semiexterior building envelope: the elements of a building that separate conditioned space from unconditioned space or that enclose semiheated spaces through which thermal
energy may be transferred to or from the exterior, to or from unconditioned spaces, or to or from conditioned spaces.</t>
  </si>
  <si>
    <t>90.1 questions</t>
  </si>
  <si>
    <t>What about Surface:adjacent_to=ground?</t>
  </si>
  <si>
    <t xml:space="preserve">Parent space is classified as conditioned AND
Surface:adjacent_to=exterior </t>
  </si>
  <si>
    <t>(parent space is classified as conditioned AND surface:adjacent_to=interior AND (surface:adjacent_space_ID is classified as unconditioned OR semiheated)) OR (parent space is classified as semiheated AND (surface:adjacent_to=exterior OR surface:adjacent_space_ID is classified as unconditioned)</t>
  </si>
  <si>
    <t>semiheated space: an enclosed space within a building that is heated by a heating system whose output capacity is greater than or equal to 3.4 Btu/h·ft2 of floor area but is
not a conditioned space.</t>
  </si>
  <si>
    <t>unconditioned space: an enclosed space within a building that is not a conditioned space or a semiheated space.</t>
  </si>
  <si>
    <t>conditioned space: an enclosed space that is a cooled space, heated space, or indirectly conditioned space defined as follows:
a. cooled space: an enclosed space within a building that is cooled by a cooling system whose sensible output capacity is 3.4 Btu/h·ft2 of floor area.
b. heated space: an enclosed space within a building that is heated by a heating system whose output capacity relative to the floor area is greater than or equal to
the criteria in Table 3.2.
c. indirectly conditioned space: an enclosed space within a building that is not a heated space or a cooled space, which is heated or cooled indirectly by being
connected to adjacent spaces, provided:
1. the product of the U-factors and surface areas of the space adjacent to connected spaces exceeds the combined sum of the product of the U-factors and surface areas of the space adjoining the outdoors, unconditioned spaces, and
to or from semiheated spaces (e.g., corridors) or
2. that air from heated or cooled spaces is intentionally transferred (naturally or mechanically) into the space at a rate exceeding 3 ach (e.g., atria).
Crawlspaces, attics, and parking garages with natural or
mechanical ventilation are not considered enclosed spaces.</t>
  </si>
  <si>
    <t>There are currently no TCDs involving indirectly conditioned spaces</t>
  </si>
  <si>
    <t xml:space="preserve">residential: spaces in buildings used primarily for living and sleeping. Residential spaces include, but are not limited to, dwelling units, hotel/motel guest rooms, dormitories, nursing homes, patient rooms in hospitals, lodging houses,  fraternity/sorority houses, hostels, prisons, and fire stations.    </t>
  </si>
  <si>
    <t xml:space="preserve">nonresidential: all occupancies other than residential   </t>
  </si>
  <si>
    <t>Lighting Space Type tab identifies space types that are considered residential.</t>
  </si>
  <si>
    <t>Is space classified as conditioned?</t>
  </si>
  <si>
    <t>Is space classified as semiheated?</t>
  </si>
  <si>
    <t>Is space callsified as unconditioned?</t>
  </si>
  <si>
    <t>is space classified as residential?</t>
  </si>
  <si>
    <t>is space classified as non-residential?</t>
  </si>
  <si>
    <t>Is surface classiffied as roof?</t>
  </si>
  <si>
    <t>Is surface classiffied as wall?</t>
  </si>
  <si>
    <t>Is surface classiffied as floor?</t>
  </si>
  <si>
    <t>Is fenestration classified as skylight?</t>
  </si>
  <si>
    <t>Is fenestration classified as vertical fenestration?</t>
  </si>
  <si>
    <r>
      <t xml:space="preserve">floor: lower portion of the building envelope, including opaque area and fenestration, that has </t>
    </r>
    <r>
      <rPr>
        <sz val="11"/>
        <rFont val="Calibri"/>
        <family val="2"/>
        <scheme val="minor"/>
      </rPr>
      <t xml:space="preserve">conditioned or semiheated space above </t>
    </r>
    <r>
      <rPr>
        <sz val="11"/>
        <color theme="1"/>
        <rFont val="Calibri"/>
        <family val="2"/>
        <scheme val="minor"/>
      </rPr>
      <t>and is horizontal or tilted at an angle of less than 60 degrees from horizontal but excluding slab-on-grade floors.</t>
    </r>
  </si>
  <si>
    <t xml:space="preserve">Building:ID
Building:is_rotated
HVACSystem:ID
HVACSystem:sensible_cool_output_capacity
HVACSystem:heat_output_capacity
Space:ID
Space:floor_area
Surface:ID
Surface:tilt
Surface:azmth
Surface:adjacent_to 
Fenestration:ID
Fenestration:area  
Surface:ID
Surface:tilt
Surface:azmth
Surface:adjacent_to
Fenestration:ID
Fenestration:area  
Surface:ID
Surface:tilt
Surface:azmth
Surface:adjacent_to
Fenestration:ID
Fenestration:area  
Surface:ID
Surface:tilt
Surface:azmth
Surface:adjacent_to
Fenestration:ID
Fenestration:area  </t>
  </si>
  <si>
    <t>1
No
1
9000
32000
1
1000
1
90
0
ambient
1
350
2
90
90
ambient
2
355
3
90
180
ambient
3
360
4
90
270
ambient
4
355</t>
  </si>
  <si>
    <t>1
Yes
1
9000
32000
1
1000
1
90
0
ambient
1
350
2
90
90
ambient
2
355
3
90
180
ambient
3
360
4
90
270
ambient
4
355</t>
  </si>
  <si>
    <t>The baseline vertical fenestration area differs by less than 5% on each orientation. The baseline was rotated, which does not meet the requirements.</t>
  </si>
  <si>
    <t>1
Yes
1
9000
32000
1
1000
1
90
0
ambient
1
350
2
90
90
ambient
2
355
3
90
180
ambient
3
380
4
90
270
ambient
4
355</t>
  </si>
  <si>
    <t>Four surfaces with unique azimuth, each surface qualifies as exterior wall based on parent space conditioning category, tilt and adjacent_to field, vertical fenestration area differs by less than 5% per exposure; baseline does not need to be rotated and wasn't rotated</t>
  </si>
  <si>
    <t>Four surfaces with unique azimuth, each surface qualifies as exterior wall based on parent space conditioning category, tilt and adjacent_to field, vertical fenestration area differs by less than 5% per exposure; baseline does not need to be rotated but was rotated</t>
  </si>
  <si>
    <t>Four surfaces with unique azimuth, each surface qualifies as exterior wall based on parent space conditioning category, tilt and adjacent_to field, vertical fenestration area differs by more than 5% per exposure; baseline must be rotated and was rotated</t>
  </si>
  <si>
    <t>Four surfaces with unique azimuth, each surface qualifies as exterior wall based on parent space conditioning category, tilt and adjacent_to field, vertical fenestration area differs by more than 5% per exposure; baseline must be rotated but was not rotated</t>
  </si>
  <si>
    <t xml:space="preserve">The baseline vertical fenestration area differs by more than 5% on each orientation, the baseline was not rotated as required. Project must demonstrated to the satisfaction of the rating authority that the building orientation is dictated by site considerations. </t>
  </si>
  <si>
    <t>1
No
1
9000
32000
1
1000
1
90
0
ambient
1
350
2
90
90
ambient
2
355
3
90
180
ambient
3
380
4
90
270
ambient
4
355</t>
  </si>
  <si>
    <t>The baseline vertical fenestration area differs by less than 5% on each orientation, the baseline was not rotated which meets the requirements.</t>
  </si>
  <si>
    <t>1
No
1
9000
32000
1
1000
1
90
0
ambient
1
350
2
90
90
ambient
2
355
3
59
180
ambient
3
380
4
90
270
ambient
4
355</t>
  </si>
  <si>
    <t>Four surfaces with unique azimuth each qualifying as exterior envelope based on space conditioning category of parent space, one of four surfaces does not qualify as exterior wall based on tilt. Fenestration area on three surfaces that qualify as exterior walls differ by less than 5% per exposure; baseline does not need to be rotated and was not rotated</t>
  </si>
  <si>
    <t xml:space="preserve">Four surfaces qualify as exterior wall based on space conditioning category of parent space, tilt and adjacent_to field and have the same vertical fenestration area, however two of the surfaces have the same azimuth and the vertical fenestration area of these surfaces must be combined, resulting in fenestration area differing by more than 5% per orientation. Baseline must be rotated unless allowed by rating authority, but was not rotated. Project must demonstrated to the satisfaction of the rating authority that the building orientation is dictated by site considerations. </t>
  </si>
  <si>
    <t>1
No
1
9000
32000
1
1000
1
90
0
ambient
1
350
2
90
0
ambient
2
350
3
90
180
ambient
3
350
4
90
270
ambient
4
350</t>
  </si>
  <si>
    <t>Surface:ID
Surface:adjacent_to
Surface:cast_shade</t>
  </si>
  <si>
    <t>Building has exterior surface that is correctly modeled as not casting shade in the baseline</t>
  </si>
  <si>
    <t>Building has exterior surface that was incorrectly modeled as casting shade in the baseline</t>
  </si>
  <si>
    <t>Baseline exterior surface is modeled as casting shade, which is incorrect.</t>
  </si>
  <si>
    <t>1
exterior
True</t>
  </si>
  <si>
    <t>Tables G3.4-1 to G3.4-8</t>
  </si>
  <si>
    <t>Baseline space conditioning category (conditioned, semiheated, unconditioned), residential vs non-residential occupancy type and surface type (wall vs floor vs roof) are determined correctly</t>
  </si>
  <si>
    <r>
      <t xml:space="preserve">Building is located in climate zone 4A and includes a space that has nonresidential occupancy type and is  coditioned based on heating capacity of the HVAC system that servies it. The baseline roof U-factor for the space is not established correctly.
</t>
    </r>
    <r>
      <rPr>
        <sz val="10"/>
        <color rgb="FFFF0000"/>
        <rFont val="Arial Nova Cond"/>
        <family val="2"/>
      </rPr>
      <t xml:space="preserve">
</t>
    </r>
  </si>
  <si>
    <t>The baseline roof U Factor is not established correctly for a conditioned nonresidential space in climate zone 4A.</t>
  </si>
  <si>
    <t xml:space="preserve">4A
1                        
10000
32000
1  
1000
Enclosed Office
1
59
ambient
0.345    
         </t>
  </si>
  <si>
    <r>
      <t xml:space="preserve">A space is semiheated based on heating and cooling capacity of the HVAC system that servies the two spaces that are assigned to it. Building is located in climate zone 4A. The baseline roof U-factor for the space is established correctly.
</t>
    </r>
    <r>
      <rPr>
        <sz val="10"/>
        <color rgb="FFFF0000"/>
        <rFont val="Arial Nova Cond"/>
        <family val="2"/>
      </rPr>
      <t xml:space="preserve">
</t>
    </r>
  </si>
  <si>
    <t xml:space="preserve">4A
1                        
10000
32000
1  
1000
1
59
ambient
1.27   
2  
1000
  </t>
  </si>
  <si>
    <t xml:space="preserve">Building:climate_zone
HVACSystem:ID
HVACSystem:sensible_cool_output_capacity
HVACSystem:heat_output_capacity
Space:ID
Space:floor_area
Surface:ID
Surface:tilt
Surface:adjacent_to
Surface:U_factor
Space:ID
Space:floor_area
</t>
  </si>
  <si>
    <r>
      <t xml:space="preserve">A space is semiheated based on heating and cooling capacity of the HVAC system that servies the two spaces that are assigned to it. Building is located in climate zone 4A. The baseline roof U-factor for the space is not established correctly.
</t>
    </r>
    <r>
      <rPr>
        <sz val="10"/>
        <color rgb="FFFF0000"/>
        <rFont val="Arial Nova Cond"/>
        <family val="2"/>
      </rPr>
      <t xml:space="preserve">
</t>
    </r>
  </si>
  <si>
    <t xml:space="preserve">Building:climate_zone
HVACSystem:ID
HVACSystem:sensible_cool_output_capacity
HVACSystem:heat_output_capacity
Space:ID
Space:floor_area
Surface:ID
Surface:tilt
Surface:adjacent_to
Surface:U_factor
Space:ID
Space:floor_area
</t>
  </si>
  <si>
    <t xml:space="preserve">4A
1                        
10000
32000
1  
1000
1
59
ambient
1.238   
2  
1000
    </t>
  </si>
  <si>
    <t>The baseline exterior envelope U Factor is established correctly for an unconditioned space and is equalt to the surface U Factor in the user model</t>
  </si>
  <si>
    <t>The baseline exterior envelope U Factor is not established correctly for an unconditioned space as it is not equal to the surface U Factor in the user model</t>
  </si>
  <si>
    <t xml:space="preserve">HVACSystem:ID
HVACSystem:sensible_cool_output_capacity
HVACSystem:heat_output_capacity
Space:ID
Space:floor_area
Surface:ID
Surface:adjacent_to
Surface:U_factor
Space:ID
Space:floor_area
</t>
  </si>
  <si>
    <t xml:space="preserve">1                        
9000
9000
1  
1000
1
ambient
1.5    </t>
  </si>
  <si>
    <t xml:space="preserve">1                        
9000
9000
1  
1000
1
ambient
1.6    </t>
  </si>
  <si>
    <r>
      <t xml:space="preserve">A space is unconditioned based on heating and cooling capacity of the HVAC system that servies it. The baseline exterior envelope U-factor for the space is established correctly.
</t>
    </r>
    <r>
      <rPr>
        <sz val="10"/>
        <color rgb="FFFF0000"/>
        <rFont val="Arial Nova Cond"/>
        <family val="2"/>
      </rPr>
      <t xml:space="preserve">
</t>
    </r>
  </si>
  <si>
    <t>Baseline RMR Surface:C_factor = expected value</t>
  </si>
  <si>
    <t>B-RMR Surface:C_factor = U-RMR Surface:C-factor</t>
  </si>
  <si>
    <t xml:space="preserve">4A
1                        
12000
30000
1  
1000
Dwelling Unit
1
59
ambient
0.358   
         </t>
  </si>
  <si>
    <t xml:space="preserve">4A
1                        
9000
32000
1  
1000
Dwelling Unit
1
61
ground
6.473    
         </t>
  </si>
  <si>
    <r>
      <t xml:space="preserve">Building is located in climate zone 4A and includes a space that has residential occupancy type and is  coditioned based on cooling capacity of the HVAC system that servies it. The baseline below-grade wall C-factor for the space is established correctly.
</t>
    </r>
    <r>
      <rPr>
        <sz val="10"/>
        <color rgb="FFFF0000"/>
        <rFont val="Arial Nova Cond"/>
        <family val="2"/>
      </rPr>
      <t xml:space="preserve">
</t>
    </r>
  </si>
  <si>
    <r>
      <t xml:space="preserve">A space is unconditioned based on heating and cooling capacity of the HVAC system that servies it. The baseline below-grade wall C-factor for the space is established correctly as equal to the user model C-Factor.
</t>
    </r>
    <r>
      <rPr>
        <sz val="10"/>
        <color rgb="FFFF0000"/>
        <rFont val="Arial Nova Cond"/>
        <family val="2"/>
      </rPr>
      <t xml:space="preserve">
</t>
    </r>
  </si>
  <si>
    <t>The baseline below-grade wall C-Factor for an unconditioned space is established correctly as matching the C-Factor of the corresponding below-grade wall in the user model</t>
  </si>
  <si>
    <r>
      <t xml:space="preserve">A space is unconditioned based on heating and cooling capacity of the HVAC system that servies it. The baseline below-grade wall C-factor for the space is not established correctly as equal to the user model C-Factor.
</t>
    </r>
    <r>
      <rPr>
        <sz val="10"/>
        <color rgb="FFFF0000"/>
        <rFont val="Arial Nova Cond"/>
        <family val="2"/>
      </rPr>
      <t xml:space="preserve">
</t>
    </r>
  </si>
  <si>
    <t xml:space="preserve">1                        
9000
9000
1  
1000
1
61
ground
1.5    </t>
  </si>
  <si>
    <t xml:space="preserve">1                        
9000
9000
1  
1000
1
61
ground
2   </t>
  </si>
  <si>
    <t xml:space="preserve">4A
1                        
9000
63000
1  
1000
Enclosed Office
1
61
ground
6.473  
2  
1000    </t>
  </si>
  <si>
    <t>The baseline below-grade wall C-Factor is not established correctly for a conditioned non-residential space in climate zone 4A.</t>
  </si>
  <si>
    <t xml:space="preserve">4A
1                        
9000
32000
1  
1000
Enclosed Office
1
61
ground
1.27   
2  
1000
Enclosed Office         </t>
  </si>
  <si>
    <t xml:space="preserve">4A
1                        
9000
32000
1  
1000
Enclosed Office
1
61
ground
6.473   
2  
1000     </t>
  </si>
  <si>
    <t xml:space="preserve">4A
1                        
9000
32000
1  
1000
Enclosed Office
1
61
ground
6.473
         </t>
  </si>
  <si>
    <t>4A
1                        
9000
32000
1  
1000
Dwelling Unit
1
59
ground
6.8</t>
  </si>
  <si>
    <t xml:space="preserve">4A
1                        
11000
29000
1  
1000
Dwelling Unit
1
61
ground
6.473    
         </t>
  </si>
  <si>
    <t>P-RMR Surface:U_factor = U-RMR Surface:U-factor</t>
  </si>
  <si>
    <t xml:space="preserve">Surface:ID
Surface:U_factor
</t>
  </si>
  <si>
    <t xml:space="preserve">1
1.5    </t>
  </si>
  <si>
    <t xml:space="preserve">Building:climate_zone
HVACSystem:ID
HVACSystem:sensible_cool_output_capacity
HVACSystem:heat_output_capacity
Space:ID
Space:floor_area
Space:occupancy_type
Surface:ID
Surface:tilt
Surface:adjacent_to
Surface:C_factor
Space:ID
Space:floor_area
</t>
  </si>
  <si>
    <t xml:space="preserve">Building:climate_zone
HVACSystem:ID
HVACSystem:sensible_cool_output_capacity
HVACSystem:heat_output_capacity
Space:ID
Space:floor_area
Space:occupancy_type
Surface:ID
Surface:tilt
Surface:adjacent_to
Surface:C_factor
Space:ID
Space:floor_area
</t>
  </si>
  <si>
    <t xml:space="preserve">Building:climate_zone
HVACSystem:ID
HVACSystem:sensible_cool_output_capacity
HVACSystem:heat_output_capacity
Space:ID
Space:floor_area
Space:occupancy_type
Surface:ID
Surface:tilt
Surface:adjacent_to
Surface:C_factor
Space:ID
Space:floor_area
Space:occupancy_type
</t>
  </si>
  <si>
    <t xml:space="preserve">HVACSystem:ID
HVACSystem:sensible_cool_output_capacity
HVACSystem:heat_output_capacity
Space:ID
Space:floor_area
Surface:ID
Surface:tilt
Surface:adjacent_to
Surface:C_factor
Space:ID
Space:floor_area
</t>
  </si>
  <si>
    <t>Below-grade wall C-factor must be the same in the proposed model as in the user model</t>
  </si>
  <si>
    <t>P-RMR Surface:C_factor = U-RMR Surface:C-factor</t>
  </si>
  <si>
    <t>Baseline above-grade wall assemblies must conform with assemblies detailed in  Appendix A (Steel-framed A3.3) and match the appropriate assembly maximum U-factors in Tables G3.4-1 through G3.4-8</t>
  </si>
  <si>
    <t>Building enevelope U-factors must be modeled in proposed design as designed</t>
  </si>
  <si>
    <t>The proposed envelope U Factor is established correctly as equal to the corresponding U-Factor in the user model</t>
  </si>
  <si>
    <r>
      <t xml:space="preserve">A surface has the same U-factor is the same in P-RMR as in U-RMR
</t>
    </r>
    <r>
      <rPr>
        <sz val="10"/>
        <color rgb="FFFF0000"/>
        <rFont val="Arial Nova Cond"/>
        <family val="2"/>
      </rPr>
      <t xml:space="preserve">
</t>
    </r>
  </si>
  <si>
    <t>C-factor of a surface in the proposed design is established correctly as equal to the user model C-Factor.</t>
  </si>
  <si>
    <r>
      <t xml:space="preserve">C-factor of a surface in the proposed design is equal to the user model C-Factor.
</t>
    </r>
    <r>
      <rPr>
        <sz val="10"/>
        <color rgb="FFFF0000"/>
        <rFont val="Arial Nova Cond"/>
        <family val="2"/>
      </rPr>
      <t xml:space="preserve">
</t>
    </r>
  </si>
  <si>
    <t xml:space="preserve">Surface:ID
Surface:C_factor
</t>
  </si>
  <si>
    <t xml:space="preserve">4A
1                        
9000
32000
1  
1000
Dwelling Unit
1
61
ambient
0.363    
         </t>
  </si>
  <si>
    <t xml:space="preserve">4A
1                        
11000
29000
1  
1000
Dwelling Unit
1
61
ambient
0.363    
         </t>
  </si>
  <si>
    <t>The baseline exterior wall U Factor is not established correctly for a conditioned residential space in climate zone 4A.</t>
  </si>
  <si>
    <t xml:space="preserve">4A
1                        
9000
32000
1  
1000
Dwelling Unit
1
61
ambient
0.38    
         </t>
  </si>
  <si>
    <t xml:space="preserve">4A
1                        
9000
32000
1  
1000
Enclosed Office
1
61
ambient
0.704   
         </t>
  </si>
  <si>
    <t>The baseline exterior wall U Factor is established correctly for a conditioned nonresidential space in climate zone 4A.</t>
  </si>
  <si>
    <t>The baseline exterior wall U Factor is established correctly for a semiheated space in climate zone 4A.</t>
  </si>
  <si>
    <t xml:space="preserve">4A
1                        
9000
32000
1  
1000
Enclosed Office
1
61
ambient
0.704
2  
1000
Enclosed Office         </t>
  </si>
  <si>
    <t xml:space="preserve">4A
1                        
9000
32000
1  
1000
Enclosed Office
1
61
ambient
0.363   
2  
1000
Enclosed Office         </t>
  </si>
  <si>
    <r>
      <t xml:space="preserve">Building is located in climate zone 4A and includes a space that has nonresidential occupancy type and is  coditioned based on heating capacity of the HVAC system that servies it. The baseline exterior wall U-factor for the space is not established correctly.
</t>
    </r>
    <r>
      <rPr>
        <sz val="10"/>
        <color rgb="FFFF0000"/>
        <rFont val="Arial Nova Cond"/>
        <family val="2"/>
      </rPr>
      <t xml:space="preserve">
</t>
    </r>
  </si>
  <si>
    <t>The baseline exterior wall U Factor is not established correctly for a conditioned nonresidential space in climate zone 4A.</t>
  </si>
  <si>
    <t xml:space="preserve">4A
1                        
9000
32000
1  
1000
Enclosed Office
1
61
ambient
0.8  
         </t>
  </si>
  <si>
    <r>
      <t xml:space="preserve">A space is semiheated based on heating and cooling capacity of the HVAC system that servies the two spaces that are assigned to it. Building is located in climate zone 4A. The baseline exterior wall U-factor for the space is established correctly.
</t>
    </r>
    <r>
      <rPr>
        <sz val="10"/>
        <color rgb="FFFF0000"/>
        <rFont val="Arial Nova Cond"/>
        <family val="2"/>
      </rPr>
      <t xml:space="preserve">
</t>
    </r>
  </si>
  <si>
    <r>
      <t xml:space="preserve">A space is semiheated based on heating and cooling capacity of the HVAC system that servies the two spaces that are assigned to it. Building is located in climate zone 4A. The baseline exterior wall U-factor for the space is not established correctly.
</t>
    </r>
    <r>
      <rPr>
        <sz val="10"/>
        <color rgb="FFFF0000"/>
        <rFont val="Arial Nova Cond"/>
        <family val="2"/>
      </rPr>
      <t xml:space="preserve">
</t>
    </r>
  </si>
  <si>
    <r>
      <t xml:space="preserve">A space is unconditioned based on heating and cooling capacity of the HVAC system that servies it. The baseline exterior envelope U-factor for a surface in this space is not established correctly.
</t>
    </r>
    <r>
      <rPr>
        <sz val="10"/>
        <color rgb="FFFF0000"/>
        <rFont val="Arial Nova Cond"/>
        <family val="2"/>
      </rPr>
      <t xml:space="preserve">
</t>
    </r>
  </si>
  <si>
    <t>Baseline floor assemblies must conform with assemblies detailed in  Appendix A (Floors—Steel-joist (A5.3)) and match the appropriate assembly maximum U-factors in Tables G3.4-1 through G3.4-8</t>
  </si>
  <si>
    <r>
      <t xml:space="preserve">Building is located in climate zone 4A and includes a space that has residential occupancy type and is  coditioned based on cooling capacity of the HVAC system that servies it. The baseline slab-on-grade floor F-factor for the space is established correctly.
</t>
    </r>
    <r>
      <rPr>
        <sz val="10"/>
        <color rgb="FFFF0000"/>
        <rFont val="Arial Nova Cond"/>
        <family val="2"/>
      </rPr>
      <t xml:space="preserve">
</t>
    </r>
  </si>
  <si>
    <t>The baseline slab-on-grade floor F Factor is not established correctly for a conditioned residential space in climate zone 4A.</t>
  </si>
  <si>
    <t>The baseline slab-on-grade floor F Factor is established correctly for a conditioned nonresidential space in climate zone 4A.</t>
  </si>
  <si>
    <r>
      <t xml:space="preserve">Building is located in climate zone 4A and includes a space that has residential occupancy type and is  coditioned based on heating capacity of the HVAC system that servies it. The baseline slab-on-grade floor F-factor for the space is not established correctly.
</t>
    </r>
    <r>
      <rPr>
        <sz val="10"/>
        <color rgb="FFFF0000"/>
        <rFont val="Arial Nova Cond"/>
        <family val="2"/>
      </rPr>
      <t xml:space="preserve">
</t>
    </r>
  </si>
  <si>
    <r>
      <t xml:space="preserve">Building is located in climate zone 4A and includes a space that has nonresidential occupancy type and is  coditioned based on heating capacity of the HVAC system that servies it. The baseline slab-on-grade floor F-factor for the space is established correctly.
</t>
    </r>
    <r>
      <rPr>
        <sz val="10"/>
        <color rgb="FFFF0000"/>
        <rFont val="Arial Nova Cond"/>
        <family val="2"/>
      </rPr>
      <t xml:space="preserve">
</t>
    </r>
  </si>
  <si>
    <r>
      <t xml:space="preserve">A space has non-residential occupancy type and is semiheated based on heating and cooling capacity of the HVAC system that servies the two spaces that are assigned to it. Building is located in climate zone 4A. The baseline slab-on-grade floor F-factor for the space is established correctly.
</t>
    </r>
    <r>
      <rPr>
        <sz val="10"/>
        <color rgb="FFFF0000"/>
        <rFont val="Arial Nova Cond"/>
        <family val="2"/>
      </rPr>
      <t xml:space="preserve">
</t>
    </r>
  </si>
  <si>
    <t>The baseline slab-on-grade floor F Factor is established correctly for a semiheated space in climate zone 4A.</t>
  </si>
  <si>
    <t>The baseline slab-on-grade floor F Factor is not established correctly for a semiheated space in climate zone 4A.</t>
  </si>
  <si>
    <r>
      <t xml:space="preserve">A space has non-residential occupancy type and is semiheated based on heating and cooling capacity of the HVAC system that servies the two spaces that are assigned to it. Building is located in climate zone 4A. The baseline slab-on-grade floor F-factor for the space is not established correctly.
</t>
    </r>
    <r>
      <rPr>
        <sz val="10"/>
        <color rgb="FFFF0000"/>
        <rFont val="Arial Nova Cond"/>
        <family val="2"/>
      </rPr>
      <t xml:space="preserve">
</t>
    </r>
  </si>
  <si>
    <r>
      <t xml:space="preserve">A space has non-residential occupancy type and is conditioned based on heating capacity of the HVAC system that servies the two spaces that are assigned to it. Building is located in climate zone 4A. The baseline slab-on-grade floor F-factor for the space is not established correctly.
</t>
    </r>
    <r>
      <rPr>
        <sz val="10"/>
        <color rgb="FFFF0000"/>
        <rFont val="Arial Nova Cond"/>
        <family val="2"/>
      </rPr>
      <t xml:space="preserve">
</t>
    </r>
  </si>
  <si>
    <t>The baseline slab-on-grade F Factor is not established correctly for a semiheated space in climate zone 4A.</t>
  </si>
  <si>
    <t xml:space="preserve">Building:climate_zone
HVACSystem:ID
HVACSystem:sensible_cool_output_capacity
HVACSystem:heat_output_capacity
Space:ID
Space:floor_area
Space:occupancy_type
Surface:ID
Surface:tilt
Surface:adjacent_to
Surface:F_factor
Space:ID
Space:floor_area
Space:occupancy_type
</t>
  </si>
  <si>
    <t xml:space="preserve">4A
1                        
9000
32000
1  
1000
Enclosed Office
1
165
ground
1.263     
         </t>
  </si>
  <si>
    <t xml:space="preserve">4A
1                        
9000
32000
1  
1000
Enclosed Office
1
165
ground
1.263   
2  
1000
Enclosed Office         </t>
  </si>
  <si>
    <r>
      <t xml:space="preserve">Building is located in climate zone 4A and includes a space that has nonresidential occupancy type and is  coditioned based on heating capacity of the HVAC system that servies it. The baseline slab-on-grade floor F-factor for the space is not established correctly.
</t>
    </r>
    <r>
      <rPr>
        <sz val="10"/>
        <color rgb="FFFF0000"/>
        <rFont val="Arial Nova Cond"/>
        <family val="2"/>
      </rPr>
      <t xml:space="preserve">
</t>
    </r>
  </si>
  <si>
    <t>The baseline slab-on-grade floor F Factor is not established correctly for a conditioned nonresidential space in climate zone 4A.</t>
  </si>
  <si>
    <t xml:space="preserve">4A
1                        
9000
32000
1  
1000
Enclosed Office
1
165
ground
1.5     
         </t>
  </si>
  <si>
    <t xml:space="preserve">4A
1                        
9000
32000
1  
1000
Enclosed Office
1
165
ambient
0.329  
2  
1000
Enclosed Office         </t>
  </si>
  <si>
    <t xml:space="preserve">4A
1                        
9000
63000
1  
1000
Enclosed Office
1
165
ground
0.216  
2  
1000
Enclosed Office         </t>
  </si>
  <si>
    <t xml:space="preserve">1                        
9000
9000
1  
1000
1
165
ground
1.5    </t>
  </si>
  <si>
    <t>HVACSystem:ID
HVACSystem:sensible_cool_output_capacity
HVACSystem:heat_output_capacity
Space:ID
Space:floor_area
Surface:ID
Surface:tilt
Surface:adjacent_to
Surface:F_factor</t>
  </si>
  <si>
    <r>
      <t xml:space="preserve">A space is unconditioned based on heating and cooling capacity of the HVAC system that servies it. The baseline slab-on-grade F-factor is established correctly as equal to the corresponding user model F-factor.
</t>
    </r>
    <r>
      <rPr>
        <sz val="10"/>
        <color rgb="FFFF0000"/>
        <rFont val="Arial Nova Cond"/>
        <family val="2"/>
      </rPr>
      <t xml:space="preserve">
</t>
    </r>
  </si>
  <si>
    <t>The F-factor for a baseline slab-on-grade  in unconditioned space is established correctly as equal to the corresponding F-factor in the user model.</t>
  </si>
  <si>
    <r>
      <t xml:space="preserve">A space is unconditioned based on heating and cooling capacity of the HVAC system that servies it. The baseline slab-on-grade F-factor is not established correctly as equal to the corresponding user model F-factor.
</t>
    </r>
    <r>
      <rPr>
        <sz val="10"/>
        <color rgb="FFFF0000"/>
        <rFont val="Arial Nova Cond"/>
        <family val="2"/>
      </rPr>
      <t xml:space="preserve">
</t>
    </r>
  </si>
  <si>
    <t>The F-factor for a baseline slab-on-grade  in unconditioned space is not established correctly as equal to the corresponding F-factor in the user model.</t>
  </si>
  <si>
    <t xml:space="preserve">1                        
9000
9000
1  
1000
1
165
ground
2   </t>
  </si>
  <si>
    <t>P-RMR Surface:F_factor = U-RMR Surface:F-factor</t>
  </si>
  <si>
    <t>Slab-on-grade F-factor in the proposed design must be modeled as-designed</t>
  </si>
  <si>
    <t>no</t>
  </si>
  <si>
    <t>Baseline floor assemblies must conform with assemblies detailed in Appendix A ( Slab-on-grade floors shall match the F-factor for unheated slabs from the same tables (A6).) and match the appropriate assembly maximum U-factors in Tables G3.4-1 through G3.4-8</t>
  </si>
  <si>
    <t>Baseline RMR Surface:F_factor = expected value</t>
  </si>
  <si>
    <r>
      <t>W/m</t>
    </r>
    <r>
      <rPr>
        <vertAlign val="superscript"/>
        <sz val="8"/>
        <rFont val="Arial"/>
        <family val="2"/>
      </rPr>
      <t>2</t>
    </r>
  </si>
  <si>
    <t>Baseline roof assemblies must conform with assemblies detailed in Appendix A ( Above-grade walls—Steel-framed A2.2) and match the appropriate assembly maximum U-factors in Tables G3.4-1 through G3.4-8</t>
  </si>
  <si>
    <t>Baseline below-grade walls shall conform with assemblies detailed in Appendix A Concrete block, A4) and shall match the appropriate assembly maximum C-factors in Tables G3.4-1 through G3.4-8</t>
  </si>
  <si>
    <t>B-RMR Fenestration:shading_projections = false</t>
  </si>
  <si>
    <t>U-RMR Fenestration:manual_interior_shades = P-RMR Fenestration:manual_interior_shades</t>
  </si>
  <si>
    <r>
      <t xml:space="preserve">A space has vertical fenestration that is correctly modeled with the same manual interior shades in the user and proposed models.
</t>
    </r>
    <r>
      <rPr>
        <sz val="10"/>
        <color rgb="FFFF0000"/>
        <rFont val="Arial Nova Cond"/>
        <family val="2"/>
      </rPr>
      <t xml:space="preserve">
</t>
    </r>
  </si>
  <si>
    <t>The proposed vertical fenestration is modeled with the same manual interior shades as in the user model.</t>
  </si>
  <si>
    <t xml:space="preserve">A space has vertical fenestration that is incorrectly modeled with automatic interior shades in the baseline. </t>
  </si>
  <si>
    <t>The baseline vertical fenestration is incorrectly modeled with automatic interior shades.</t>
  </si>
  <si>
    <t xml:space="preserve">The skylight area on each proposed roof surface is not the same as in the user model. </t>
  </si>
  <si>
    <t xml:space="preserve">Building includes a space that has two roof surfaces both of which have skylights. Skylight area in the user model exceeds 3% of total roof area. Baseline skylight area is not allocated in the same proportion to different roof surfaces as in the user model. </t>
  </si>
  <si>
    <t xml:space="preserve">1
1
1
59
exterior 
0
1000
1
100
2
59
exterior 
90
2000
1
100
</t>
  </si>
  <si>
    <t xml:space="preserve">1
1
1
59
exterior 
0
1000
1
50
2
59
exterior 
90
2000
1
40
</t>
  </si>
  <si>
    <t xml:space="preserve">1
1
1
59
exterior 
0
1000
1
45
2
59
exterior 
90
2000
1
45
</t>
  </si>
  <si>
    <t xml:space="preserve">Building includes a space that has two roof surfaces both of which have skylights. Skylight area in the user model exceeds 3% of total roof area. Baseline skylight area is allocated in the same proportion to different roof surfaces as in the user model. </t>
  </si>
  <si>
    <t xml:space="preserve">The baseline skylights are allocated across baseline roof surfaces with different azimuths and tilts correctly as matching the allocation in the user model. </t>
  </si>
  <si>
    <t xml:space="preserve">The baseline air leakage rate of the building envelope (I75Pa) at a fixed building pressure differential of 0.3 in. of water shall be 1 cfm/ft2.  The air leakage rate of the building envelope shall be converted to appropriate units for the simulation program using one of the methods in Section G3.1.1.4.  </t>
  </si>
  <si>
    <t>1
4A
1
9000
32000
1
1000
105.75
1
exterior 
2000</t>
  </si>
  <si>
    <t>1
4A
1
9000
30000
1
1000
105.75
1
exterior 
2000</t>
  </si>
  <si>
    <t>1
4A
1
9000
30000
1
1000
105.75
1
ground
2000</t>
  </si>
  <si>
    <t>1
4A
1
9000
32000
1
1000
105.75
1
interior
2
2000
1
9000
30000
1
1000</t>
  </si>
  <si>
    <t>The air leakage rate of the building envelope (I75Pa) at a fixed building pressure differential of 0.3 in. of water shall be 1 cfm/ft2. 
The air leakage rate of the building envelope (I75Pa) at a pressure differential of 0.3 in. of water shall be converted to appropriate units for the simulation program using one of the following formulas:
For methods describing air leakage as a function of floor area,
IFLR = 0.112 × I75Pa × S/AFLR
For methods describing air leakage as a function of the area of above-grade walls that separate conditioned spaces and semiheated spaces from the exterior,
IAGW = 0.112 × I75Pa × S/AAGW
When using the measured air leakage rate of the building envelope at a pressure differential of 0.3 in. of water for the proposed design, the air leakage rate shall be calculated as follows:
I75Pa = Q/S</t>
  </si>
  <si>
    <r>
      <t xml:space="preserve">Infiltration shall be modeled using the same methodology and adjustments for weather and building operation in both the proposed design and the baseline building design. These adjustments shall be made for each simulation time step and must account for but not be limited to weather conditions and HVAC system operation, including strategies that are intended to positively pressurize the building. The air leakage rate of the building envelope (I75Pa) at a fixed building pressure differential of 0.3 in. of water shall be 0.6 cfm/ft2 for buildings providing verification in accordance with Section 5.9.1.2. The air leakage rate of the building envelope shall be converted to appropriate units for the simulation program using one of the methods in Section G3.1.1.4. 
</t>
    </r>
    <r>
      <rPr>
        <b/>
        <sz val="8"/>
        <color theme="1"/>
        <rFont val="Franklin Gothic Book"/>
        <family val="2"/>
      </rPr>
      <t>Exceptions:</t>
    </r>
    <r>
      <rPr>
        <sz val="8"/>
        <color theme="1"/>
        <rFont val="Franklin Gothic Book"/>
        <family val="2"/>
      </rPr>
      <t xml:space="preserve"> When whole-building air leakage testing, in accordance with Section 5.4.3.1.1, is specified during design and completed after construction, the proposed design air leakage rate of the building envelope shall be as measured.</t>
    </r>
  </si>
  <si>
    <r>
      <t xml:space="preserve">The proposed air leakage rate of the building envelope (I75Pa) at a fixed building pressure differential of 0.3 in. of water shall be 0.6 cfm/ft2 for buildings providing verification in accordance with Section 5.9.1.2. The air leakage rate of the building envelope shall be converted to appropriate units for the simulation program using one of the methods in Section G3.1.1.4. 
</t>
    </r>
    <r>
      <rPr>
        <b/>
        <sz val="10"/>
        <rFont val="Arial Nova Cond"/>
        <family val="2"/>
      </rPr>
      <t>Exceptions:</t>
    </r>
    <r>
      <rPr>
        <sz val="10"/>
        <rFont val="Arial Nova Cond"/>
        <family val="2"/>
      </rPr>
      <t xml:space="preserve"> When whole-building air leakage testing, in accordance with Section 5.4.3.1.1, is specified during design and completed after construction, the proposed design air leakage rate of the building envelope shall be as measured.</t>
    </r>
  </si>
  <si>
    <t>P-RMR Space:infiltration_rate = expected value</t>
  </si>
  <si>
    <t>The proposed infiltration flow rate is equivalent to 0.6 cfm/ft2 converted to normal pressure.</t>
  </si>
  <si>
    <t>The proposed infiltration flow rate is not equivalent to 0.6 cfm/ft2 converted to normal pressure.</t>
  </si>
  <si>
    <t>The proposed infiltration flow rate is equivalent to 0.6 cfm/ft2 converted to normal pressure. Documentation for proposed air leakage testing must be provided to substantiate the modeled proposed infiltration rate</t>
  </si>
  <si>
    <t>1
4A
1
9000
30000
1
1000
63.45
1
exterior 
2000</t>
  </si>
  <si>
    <t>1
4A
1
9000
30000
1
1000
30
1
exterior 
2000</t>
  </si>
  <si>
    <t>BAT- Vertical Fenestration</t>
  </si>
  <si>
    <t>Consruction Type</t>
  </si>
  <si>
    <t>HVAC System ID</t>
  </si>
  <si>
    <t>Sensible Cool Output Capacity</t>
  </si>
  <si>
    <t>Heating Output Capacity</t>
  </si>
  <si>
    <t>Space ID</t>
  </si>
  <si>
    <t>Spac Area</t>
  </si>
  <si>
    <t>Surface ID</t>
  </si>
  <si>
    <t>Tilt</t>
  </si>
  <si>
    <t>Adjacent To</t>
  </si>
  <si>
    <t>Azimuth</t>
  </si>
  <si>
    <t>Fenestration ID</t>
  </si>
  <si>
    <t>Fenestration Area</t>
  </si>
  <si>
    <t>exterior</t>
  </si>
  <si>
    <t>Space conditioning Catergory</t>
  </si>
  <si>
    <t>Conditioned</t>
  </si>
  <si>
    <t>Surface Area</t>
  </si>
  <si>
    <t>Surface ID 1</t>
  </si>
  <si>
    <t>Fenestration ID 1</t>
  </si>
  <si>
    <t>Surface ID 2</t>
  </si>
  <si>
    <t>Fenestration ID 2</t>
  </si>
  <si>
    <t>School (primary)</t>
  </si>
  <si>
    <t>U-RMR</t>
  </si>
  <si>
    <t>5-7a</t>
  </si>
  <si>
    <t>Azimuth 0</t>
  </si>
  <si>
    <t>Azimuth 90</t>
  </si>
  <si>
    <t>Step 1 : Identify required WWR for Each Space based on BAT of Space</t>
  </si>
  <si>
    <t>(School- Primary)</t>
  </si>
  <si>
    <t>Step 2: Calculate Proportion of windows by orientation in U-RMR</t>
  </si>
  <si>
    <t>Step 3: Calculate total required area of window for base RMR for each space</t>
  </si>
  <si>
    <t>Step 4: Calculate area of window for each surface in space based on proportions in the U-RMR</t>
  </si>
  <si>
    <t>Step 5: Compare the calculated values againt B-RMR and determine rule outcome</t>
  </si>
  <si>
    <t>RMR</t>
  </si>
  <si>
    <t>B-RMR</t>
  </si>
  <si>
    <t>Surface ID 3</t>
  </si>
  <si>
    <t>Fenestration ID 3</t>
  </si>
  <si>
    <t>5-7b</t>
  </si>
  <si>
    <t>Building:ID</t>
  </si>
  <si>
    <t>Space:ID</t>
  </si>
  <si>
    <t>Surface:ID</t>
  </si>
  <si>
    <t>Surface:tilt</t>
  </si>
  <si>
    <t>Surface:adjacent_to</t>
  </si>
  <si>
    <t>Surface:azimuth</t>
  </si>
  <si>
    <t>Surface:area</t>
  </si>
  <si>
    <t>Fenestraton:ID</t>
  </si>
  <si>
    <t>Fenestration:area</t>
  </si>
  <si>
    <t>Space ID 1</t>
  </si>
  <si>
    <t>5-12a</t>
  </si>
  <si>
    <t>Step 1</t>
  </si>
  <si>
    <t xml:space="preserve">Azimuth </t>
  </si>
  <si>
    <t>Wall Azimuth</t>
  </si>
  <si>
    <t>The Azimuth Angle indicates the direction that the wall faces (outward normal). The angle is specified
in degrees where East = 90, South = 180, West = 270, North = 0.</t>
  </si>
  <si>
    <t>Wall Tilt</t>
  </si>
  <si>
    <t>The tilt angle is the angle (in degrees) that the wall is tilted from horizontal (or the ground). Normally, walls are tilted 90 degrees.</t>
  </si>
  <si>
    <t>ASHRAE Standard 90.1 defines a roof as a surface that is horizontal or tilted at an angle of less than 60 degrees from the horizontal.</t>
  </si>
  <si>
    <t>The Azimuth Angle indicates the direction of the outward normal for the roof. The angle is specified in degrees where East = 90, South = 180, West = 270, North = 0.</t>
  </si>
  <si>
    <t>The tilt angle is the angle (in degrees) that the wall is tilted from horizontal (or the ground). Flat ceilings are tilted 0 degrees</t>
  </si>
  <si>
    <t>Find a roof surface (i.e. tilt &lt;60 degrees)</t>
  </si>
  <si>
    <t>Step 2</t>
  </si>
  <si>
    <t>Find associated fenestration surface for the roof.</t>
  </si>
  <si>
    <t>Calculate SRR for proposed and baseline</t>
  </si>
  <si>
    <t>Step 4</t>
  </si>
  <si>
    <t>Is the SRR &lt;3% in the U-RMR? If yes, B-RMR should be the same. If U-RMR &gt; 3 %, the B-RMR = 3%.</t>
  </si>
  <si>
    <t>5-12c</t>
  </si>
  <si>
    <t>5-12d</t>
  </si>
  <si>
    <t>5-12e</t>
  </si>
  <si>
    <t>Fenestraton:ID (12d, 12e only)</t>
  </si>
  <si>
    <t>Fenestration:area  (12d, 12e only)</t>
  </si>
  <si>
    <t>Step 3 (Tests 12 a-c)</t>
  </si>
  <si>
    <t>Calculate Proportion of skylights in U-RMR</t>
  </si>
  <si>
    <t>Is the SRR &lt;3% in the U-RMR? If yes, B-RMR should be the same. If U-RMR &gt; 3 %, the B-RMR = 3% and skylights should be allocated in the same prportion as the U-RMR</t>
  </si>
  <si>
    <t>f</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</si>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</sst>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0" x14ac:knownFonts="1">
    <font>
      <sz val="11"/>
      <color theme="1"/>
      <name val="Calibri"/>
      <family val="2"/>
      <scheme val="minor"/>
    </font>
    <font>
      <sz val="8"/>
      <color theme="1"/>
      <name val="Franklin Gothic Book"/>
      <family val="2"/>
    </font>
    <font>
      <b/>
      <sz val="8"/>
      <color theme="1"/>
      <name val="Franklin Gothic Book"/>
      <family val="2"/>
    </font>
    <font>
      <sz val="8"/>
      <color rgb="FF000000"/>
      <name val="Franklin Gothic Book"/>
      <family val="2"/>
    </font>
    <font>
      <b/>
      <sz val="8"/>
      <color theme="0"/>
      <name val="Franklin Gothic Book"/>
      <family val="2"/>
    </font>
    <font>
      <sz val="11"/>
      <color rgb="FFFF0000"/>
      <name val="Calibri"/>
      <family val="2"/>
      <scheme val="minor"/>
    </font>
    <font>
      <sz val="8"/>
      <name val="Calibri"/>
      <family val="2"/>
      <scheme val="minor"/>
    </font>
    <font>
      <sz val="11"/>
      <name val="Calibri"/>
      <family val="2"/>
      <scheme val="minor"/>
    </font>
    <font>
      <b/>
      <sz val="11"/>
      <color theme="1"/>
      <name val="Calibri"/>
      <family val="2"/>
      <scheme val="minor"/>
    </font>
    <font>
      <sz val="10"/>
      <color theme="1"/>
      <name val="Calibri"/>
      <family val="2"/>
      <scheme val="minor"/>
    </font>
    <font>
      <b/>
      <sz val="10"/>
      <color theme="0"/>
      <name val="Arial Nova Cond"/>
      <family val="2"/>
    </font>
    <font>
      <b/>
      <sz val="10"/>
      <color theme="1"/>
      <name val="Arial Nova Cond"/>
      <family val="2"/>
    </font>
    <font>
      <sz val="10"/>
      <color theme="1"/>
      <name val="Arial Nova Cond"/>
      <family val="2"/>
    </font>
    <font>
      <strike/>
      <sz val="10"/>
      <color theme="1"/>
      <name val="Arial Nova Cond"/>
      <family val="2"/>
    </font>
    <font>
      <sz val="10"/>
      <color rgb="FFFF0000"/>
      <name val="Arial Nova Cond"/>
      <family val="2"/>
    </font>
    <font>
      <sz val="10"/>
      <name val="Arial Nova Cond"/>
      <family val="2"/>
    </font>
    <font>
      <vertAlign val="superscript"/>
      <sz val="11"/>
      <color theme="1"/>
      <name val="Calibri"/>
      <family val="2"/>
      <scheme val="minor"/>
    </font>
    <font>
      <b/>
      <sz val="8"/>
      <name val="Arial"/>
      <family val="2"/>
    </font>
    <font>
      <strike/>
      <sz val="11"/>
      <color rgb="FFFF0000"/>
      <name val="Calibri"/>
      <family val="2"/>
      <scheme val="minor"/>
    </font>
    <font>
      <b/>
      <sz val="10"/>
      <color theme="1"/>
      <name val="Arial Nova"/>
      <family val="2"/>
    </font>
    <font>
      <sz val="8"/>
      <name val="Franklin Gothic Book"/>
      <family val="2"/>
    </font>
    <font>
      <sz val="8.5"/>
      <color theme="1"/>
      <name val="Arial"/>
      <family val="2"/>
    </font>
    <font>
      <i/>
      <sz val="8.5"/>
      <color theme="1"/>
      <name val="Arial"/>
      <family val="2"/>
    </font>
    <font>
      <sz val="8"/>
      <name val="Arial"/>
      <family val="2"/>
    </font>
    <font>
      <vertAlign val="superscript"/>
      <sz val="8"/>
      <name val="Arial"/>
      <family val="2"/>
    </font>
    <font>
      <b/>
      <sz val="10"/>
      <name val="Arial Nova Cond"/>
      <family val="2"/>
    </font>
    <font>
      <sz val="10"/>
      <color rgb="FF000000"/>
      <name val="Arial Nova Cond"/>
      <family val="2"/>
    </font>
    <font>
      <b/>
      <sz val="10"/>
      <color rgb="FF000000"/>
      <name val="Arial Nova Cond"/>
      <family val="2"/>
    </font>
    <font>
      <sz val="11"/>
      <color theme="1"/>
      <name val="Arial Nova Cond"/>
      <family val="2"/>
    </font>
    <font>
      <b/>
      <sz val="11"/>
      <color theme="1"/>
      <name val="Arial Nova Cond"/>
      <family val="2"/>
    </font>
  </fonts>
  <fills count="16">
    <fill>
      <patternFill patternType="none"/>
    </fill>
    <fill>
      <patternFill patternType="gray125"/>
    </fill>
    <fill>
      <patternFill patternType="solid">
        <fgColor theme="0" tint="-0.249977111117893"/>
        <bgColor indexed="64"/>
      </patternFill>
    </fill>
    <fill>
      <patternFill patternType="solid">
        <fgColor theme="0"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4"/>
        <bgColor theme="4"/>
      </patternFill>
    </fill>
    <fill>
      <patternFill patternType="solid">
        <fgColor theme="0" tint="-0.34998626667073579"/>
        <bgColor theme="4"/>
      </patternFill>
    </fill>
    <fill>
      <patternFill patternType="solid">
        <fgColor theme="7" tint="0.59999389629810485"/>
        <bgColor indexed="64"/>
      </patternFill>
    </fill>
    <fill>
      <patternFill patternType="solid">
        <fgColor theme="2"/>
        <bgColor indexed="64"/>
      </patternFill>
    </fill>
    <fill>
      <patternFill patternType="solid">
        <fgColor theme="4"/>
        <bgColor indexed="64"/>
      </patternFill>
    </fill>
    <fill>
      <patternFill patternType="solid">
        <fgColor theme="0"/>
        <bgColor indexed="64"/>
      </patternFill>
    </fill>
    <fill>
      <patternFill patternType="solid">
        <fgColor rgb="FFFFF2CC"/>
        <bgColor indexed="64"/>
      </patternFill>
    </fill>
    <fill>
      <patternFill patternType="solid">
        <fgColor rgb="FFE2EFDA"/>
        <bgColor indexed="64"/>
      </patternFill>
    </fill>
    <fill>
      <patternFill patternType="solid">
        <fgColor theme="8" tint="0.39997558519241921"/>
        <bgColor indexed="64"/>
      </patternFill>
    </fill>
  </fills>
  <borders count="21">
    <border>
      <left/>
      <right/>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diagonal/>
    </border>
    <border>
      <left style="medium">
        <color rgb="FF000000"/>
      </left>
      <right/>
      <top style="medium">
        <color rgb="FF000000"/>
      </top>
      <bottom/>
      <diagonal/>
    </border>
    <border>
      <left style="medium">
        <color rgb="FF000000"/>
      </left>
      <right/>
      <top style="medium">
        <color rgb="FFCCCCCC"/>
      </top>
      <bottom/>
      <diagonal/>
    </border>
    <border>
      <left style="medium">
        <color rgb="FF000000"/>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CCCCCC"/>
      </left>
      <right/>
      <top style="medium">
        <color rgb="FFCCCCCC"/>
      </top>
      <bottom style="thin">
        <color theme="4" tint="0.39997558519241921"/>
      </bottom>
      <diagonal/>
    </border>
    <border>
      <left style="medium">
        <color rgb="FF000000"/>
      </left>
      <right/>
      <top style="medium">
        <color rgb="FF000000"/>
      </top>
      <bottom style="thin">
        <color theme="4" tint="0.39997558519241921"/>
      </bottom>
      <diagonal/>
    </border>
    <border>
      <left style="medium">
        <color rgb="FFCCCCCC"/>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rgb="FFA3A3A3"/>
      </left>
      <right style="medium">
        <color rgb="FFA3A3A3"/>
      </right>
      <top/>
      <bottom style="medium">
        <color rgb="FFA3A3A3"/>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
    <xf numFmtId="0" fontId="0" fillId="0" borderId="0"/>
  </cellStyleXfs>
  <cellXfs count="188">
    <xf numFmtId="0" fontId="0" fillId="0" borderId="0" xfId="0"/>
    <xf numFmtId="0" fontId="1" fillId="0" borderId="3" xfId="0" applyFont="1" applyFill="1" applyBorder="1" applyAlignment="1">
      <alignment wrapText="1"/>
    </xf>
    <xf numFmtId="0" fontId="1" fillId="0" borderId="2" xfId="0" applyFont="1" applyFill="1" applyBorder="1" applyAlignment="1">
      <alignment horizontal="center" vertical="center" wrapText="1"/>
    </xf>
    <xf numFmtId="0" fontId="1" fillId="0" borderId="1"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3" xfId="0" applyFont="1" applyFill="1" applyBorder="1" applyAlignment="1">
      <alignment vertical="center" wrapText="1"/>
    </xf>
    <xf numFmtId="0" fontId="3" fillId="0" borderId="3" xfId="0" applyFont="1" applyFill="1" applyBorder="1" applyAlignment="1">
      <alignment vertical="center" wrapText="1"/>
    </xf>
    <xf numFmtId="0" fontId="4" fillId="0" borderId="2" xfId="0" applyFont="1" applyFill="1" applyBorder="1" applyAlignment="1">
      <alignment vertical="top" wrapText="1"/>
    </xf>
    <xf numFmtId="0" fontId="4" fillId="0" borderId="1" xfId="0" applyFont="1" applyFill="1" applyBorder="1" applyAlignment="1">
      <alignment horizontal="center" vertical="center" wrapText="1"/>
    </xf>
    <xf numFmtId="0" fontId="4" fillId="0" borderId="4" xfId="0" applyFont="1" applyFill="1" applyBorder="1" applyAlignment="1">
      <alignment vertical="top" wrapText="1"/>
    </xf>
    <xf numFmtId="0" fontId="4" fillId="0" borderId="6" xfId="0" applyFont="1" applyFill="1" applyBorder="1" applyAlignment="1">
      <alignment vertical="top" wrapText="1"/>
    </xf>
    <xf numFmtId="0" fontId="1" fillId="0" borderId="0" xfId="0" applyFont="1" applyFill="1" applyBorder="1" applyAlignment="1">
      <alignment wrapText="1"/>
    </xf>
    <xf numFmtId="0" fontId="0" fillId="0" borderId="7" xfId="0" applyBorder="1"/>
    <xf numFmtId="0" fontId="0" fillId="0" borderId="7" xfId="0" applyBorder="1" applyAlignment="1">
      <alignment wrapText="1"/>
    </xf>
    <xf numFmtId="0" fontId="0" fillId="6" borderId="7" xfId="0" applyFill="1" applyBorder="1"/>
    <xf numFmtId="0" fontId="0" fillId="0" borderId="0" xfId="0" applyAlignment="1">
      <alignment wrapText="1"/>
    </xf>
    <xf numFmtId="0" fontId="10" fillId="7" borderId="1" xfId="0" applyFont="1" applyFill="1" applyBorder="1" applyAlignment="1">
      <alignment vertical="center" wrapText="1"/>
    </xf>
    <xf numFmtId="0" fontId="10" fillId="7" borderId="0" xfId="0" applyFont="1" applyFill="1" applyBorder="1" applyAlignment="1">
      <alignment vertical="center" wrapText="1"/>
    </xf>
    <xf numFmtId="0" fontId="11" fillId="0" borderId="7" xfId="0" applyFont="1" applyBorder="1" applyAlignment="1">
      <alignment vertical="center" wrapText="1"/>
    </xf>
    <xf numFmtId="0" fontId="12" fillId="5" borderId="7" xfId="0" applyFont="1" applyFill="1" applyBorder="1" applyAlignment="1">
      <alignment horizontal="center" vertical="center" wrapText="1"/>
    </xf>
    <xf numFmtId="0" fontId="12" fillId="5" borderId="7" xfId="0" applyFont="1" applyFill="1" applyBorder="1" applyAlignment="1">
      <alignment vertical="center" wrapText="1"/>
    </xf>
    <xf numFmtId="0" fontId="15" fillId="6" borderId="7" xfId="0" applyFont="1" applyFill="1" applyBorder="1" applyAlignment="1">
      <alignment horizontal="center" vertical="center" wrapText="1"/>
    </xf>
    <xf numFmtId="0" fontId="15" fillId="6" borderId="7" xfId="0" applyFont="1" applyFill="1" applyBorder="1" applyAlignment="1">
      <alignment vertical="center" wrapText="1"/>
    </xf>
    <xf numFmtId="0" fontId="12" fillId="6" borderId="7" xfId="0" applyFont="1" applyFill="1" applyBorder="1" applyAlignment="1">
      <alignment horizontal="center" vertical="center" wrapText="1"/>
    </xf>
    <xf numFmtId="0" fontId="12" fillId="6" borderId="7" xfId="0" applyFont="1" applyFill="1" applyBorder="1" applyAlignment="1">
      <alignment vertical="center" wrapText="1"/>
    </xf>
    <xf numFmtId="0" fontId="15" fillId="5" borderId="7" xfId="0" applyFont="1" applyFill="1" applyBorder="1" applyAlignment="1">
      <alignment vertical="center" wrapText="1"/>
    </xf>
    <xf numFmtId="0" fontId="15" fillId="5" borderId="7" xfId="0" applyFont="1" applyFill="1" applyBorder="1" applyAlignment="1">
      <alignment horizontal="center" vertical="center" wrapText="1"/>
    </xf>
    <xf numFmtId="0" fontId="12" fillId="4" borderId="7" xfId="0" applyFont="1" applyFill="1" applyBorder="1" applyAlignment="1">
      <alignment vertical="center" wrapText="1"/>
    </xf>
    <xf numFmtId="0" fontId="12" fillId="4" borderId="7" xfId="0" applyFont="1" applyFill="1" applyBorder="1" applyAlignment="1">
      <alignment horizontal="center" vertical="center" wrapText="1"/>
    </xf>
    <xf numFmtId="0" fontId="12" fillId="0" borderId="7" xfId="0" applyFont="1" applyBorder="1"/>
    <xf numFmtId="0" fontId="12" fillId="0" borderId="7" xfId="0" applyFont="1" applyBorder="1" applyAlignment="1">
      <alignment wrapText="1"/>
    </xf>
    <xf numFmtId="0" fontId="15" fillId="6" borderId="7" xfId="0" applyFont="1" applyFill="1" applyBorder="1" applyAlignment="1">
      <alignment horizontal="center" vertical="top" wrapText="1"/>
    </xf>
    <xf numFmtId="9" fontId="15" fillId="6" borderId="7" xfId="0" applyNumberFormat="1" applyFont="1" applyFill="1" applyBorder="1" applyAlignment="1">
      <alignment horizontal="center" vertical="top" wrapText="1"/>
    </xf>
    <xf numFmtId="9" fontId="15" fillId="5" borderId="7" xfId="0" applyNumberFormat="1" applyFont="1" applyFill="1" applyBorder="1" applyAlignment="1">
      <alignment horizontal="center" vertical="top" wrapText="1"/>
    </xf>
    <xf numFmtId="0" fontId="12" fillId="4" borderId="7" xfId="0" applyFont="1" applyFill="1" applyBorder="1" applyAlignment="1">
      <alignment horizontal="center" vertical="top" wrapText="1"/>
    </xf>
    <xf numFmtId="0" fontId="12" fillId="6" borderId="7" xfId="0" applyFont="1" applyFill="1" applyBorder="1" applyAlignment="1">
      <alignment horizontal="center" vertical="top" wrapText="1"/>
    </xf>
    <xf numFmtId="0" fontId="12" fillId="0" borderId="7" xfId="0" applyFont="1" applyBorder="1" applyAlignment="1">
      <alignment horizontal="center" vertical="top"/>
    </xf>
    <xf numFmtId="0" fontId="12" fillId="0" borderId="7" xfId="0" applyFont="1" applyBorder="1" applyAlignment="1">
      <alignment vertical="top"/>
    </xf>
    <xf numFmtId="0" fontId="12" fillId="2" borderId="7" xfId="0" applyFont="1" applyFill="1" applyBorder="1"/>
    <xf numFmtId="0" fontId="0" fillId="0" borderId="0" xfId="0" applyFill="1" applyAlignment="1">
      <alignment wrapText="1"/>
    </xf>
    <xf numFmtId="0" fontId="4" fillId="3" borderId="3" xfId="0" applyFont="1" applyFill="1" applyBorder="1" applyAlignment="1">
      <alignment vertical="center" wrapText="1"/>
    </xf>
    <xf numFmtId="0" fontId="4" fillId="3" borderId="3" xfId="0" applyFont="1" applyFill="1" applyBorder="1" applyAlignment="1">
      <alignment vertical="top" wrapText="1"/>
    </xf>
    <xf numFmtId="0" fontId="4" fillId="3" borderId="3" xfId="0" applyFont="1" applyFill="1" applyBorder="1" applyAlignment="1">
      <alignment horizontal="left" vertical="top" wrapText="1"/>
    </xf>
    <xf numFmtId="0" fontId="4" fillId="3" borderId="4" xfId="0" applyFont="1" applyFill="1" applyBorder="1" applyAlignment="1">
      <alignment vertical="top" wrapText="1"/>
    </xf>
    <xf numFmtId="0" fontId="0" fillId="3" borderId="0" xfId="0" applyFill="1"/>
    <xf numFmtId="0" fontId="10" fillId="7" borderId="7" xfId="0" applyFont="1" applyFill="1" applyBorder="1" applyAlignment="1">
      <alignment vertical="center" wrapText="1"/>
    </xf>
    <xf numFmtId="0" fontId="11" fillId="3" borderId="7" xfId="0" applyFont="1" applyFill="1" applyBorder="1" applyAlignment="1">
      <alignment vertical="center" wrapText="1"/>
    </xf>
    <xf numFmtId="0" fontId="10" fillId="7" borderId="0" xfId="0" applyFont="1" applyFill="1" applyBorder="1" applyAlignment="1">
      <alignment horizontal="left" vertical="center" wrapText="1"/>
    </xf>
    <xf numFmtId="0" fontId="12" fillId="5" borderId="7" xfId="0" applyFont="1" applyFill="1" applyBorder="1" applyAlignment="1">
      <alignment horizontal="left" vertical="top" wrapText="1"/>
    </xf>
    <xf numFmtId="0" fontId="15" fillId="6" borderId="7" xfId="0" applyFont="1" applyFill="1" applyBorder="1" applyAlignment="1">
      <alignment horizontal="left" vertical="top" wrapText="1"/>
    </xf>
    <xf numFmtId="0" fontId="12" fillId="4" borderId="7" xfId="0" applyFont="1" applyFill="1" applyBorder="1" applyAlignment="1">
      <alignment horizontal="left" vertical="top" wrapText="1"/>
    </xf>
    <xf numFmtId="0" fontId="12" fillId="0" borderId="7" xfId="0" applyFont="1" applyBorder="1" applyAlignment="1">
      <alignment horizontal="left" vertical="top"/>
    </xf>
    <xf numFmtId="0" fontId="15" fillId="6" borderId="7" xfId="0" applyFont="1" applyFill="1" applyBorder="1"/>
    <xf numFmtId="0" fontId="12" fillId="6" borderId="7" xfId="0" applyFont="1" applyFill="1" applyBorder="1" applyAlignment="1">
      <alignment horizontal="left" vertical="top" wrapText="1"/>
    </xf>
    <xf numFmtId="0" fontId="8" fillId="0" borderId="0" xfId="0" applyFont="1"/>
    <xf numFmtId="0" fontId="0" fillId="6" borderId="0" xfId="0" applyFill="1"/>
    <xf numFmtId="0" fontId="11" fillId="9" borderId="7" xfId="0" applyFont="1" applyFill="1" applyBorder="1"/>
    <xf numFmtId="0" fontId="15" fillId="9" borderId="7" xfId="0" applyFont="1" applyFill="1" applyBorder="1"/>
    <xf numFmtId="0" fontId="12" fillId="9" borderId="7" xfId="0" applyFont="1" applyFill="1" applyBorder="1"/>
    <xf numFmtId="0" fontId="15" fillId="9" borderId="7" xfId="0" applyFont="1" applyFill="1" applyBorder="1" applyAlignment="1">
      <alignment horizontal="center" vertical="center" wrapText="1"/>
    </xf>
    <xf numFmtId="0" fontId="12" fillId="9" borderId="7" xfId="0" applyFont="1" applyFill="1" applyBorder="1" applyAlignment="1">
      <alignment horizontal="center" vertical="center" wrapText="1"/>
    </xf>
    <xf numFmtId="0" fontId="15" fillId="9" borderId="7" xfId="0" applyFont="1" applyFill="1" applyBorder="1" applyAlignment="1">
      <alignment vertical="center" wrapText="1"/>
    </xf>
    <xf numFmtId="0" fontId="12" fillId="9" borderId="7" xfId="0" applyFont="1" applyFill="1" applyBorder="1" applyAlignment="1">
      <alignment vertical="center" wrapText="1"/>
    </xf>
    <xf numFmtId="0" fontId="12" fillId="9" borderId="7" xfId="0" applyFont="1" applyFill="1" applyBorder="1" applyAlignment="1">
      <alignment horizontal="left" vertical="top" wrapText="1"/>
    </xf>
    <xf numFmtId="9" fontId="15" fillId="9" borderId="7" xfId="0" applyNumberFormat="1" applyFont="1" applyFill="1" applyBorder="1" applyAlignment="1">
      <alignment horizontal="center" vertical="top" wrapText="1"/>
    </xf>
    <xf numFmtId="0" fontId="13" fillId="9" borderId="7" xfId="0" applyFont="1" applyFill="1" applyBorder="1" applyAlignment="1">
      <alignment horizontal="center" vertical="center" wrapText="1"/>
    </xf>
    <xf numFmtId="9" fontId="12" fillId="9" borderId="7" xfId="0" applyNumberFormat="1" applyFont="1" applyFill="1" applyBorder="1" applyAlignment="1">
      <alignment horizontal="center" vertical="top" wrapText="1"/>
    </xf>
    <xf numFmtId="9" fontId="13" fillId="9" borderId="7" xfId="0" applyNumberFormat="1" applyFont="1" applyFill="1" applyBorder="1" applyAlignment="1">
      <alignment horizontal="center" vertical="top" wrapText="1"/>
    </xf>
    <xf numFmtId="0" fontId="0" fillId="10" borderId="0" xfId="0" applyFill="1"/>
    <xf numFmtId="0" fontId="0" fillId="0" borderId="0" xfId="0" applyFill="1"/>
    <xf numFmtId="0" fontId="0" fillId="2" borderId="0" xfId="0" applyFill="1"/>
    <xf numFmtId="0" fontId="1" fillId="0" borderId="3" xfId="0" quotePrefix="1" applyFont="1" applyFill="1" applyBorder="1" applyAlignment="1">
      <alignment vertical="center" wrapText="1"/>
    </xf>
    <xf numFmtId="0" fontId="15" fillId="4" borderId="7" xfId="0" applyFont="1" applyFill="1" applyBorder="1"/>
    <xf numFmtId="0" fontId="15" fillId="4" borderId="7" xfId="0" applyFont="1" applyFill="1" applyBorder="1" applyAlignment="1">
      <alignment horizontal="center" vertical="center" wrapText="1"/>
    </xf>
    <xf numFmtId="0" fontId="15" fillId="4" borderId="7" xfId="0" applyFont="1" applyFill="1" applyBorder="1" applyAlignment="1">
      <alignment vertical="center" wrapText="1"/>
    </xf>
    <xf numFmtId="9" fontId="15" fillId="4" borderId="7" xfId="0" applyNumberFormat="1" applyFont="1" applyFill="1" applyBorder="1" applyAlignment="1">
      <alignment horizontal="center" vertical="top" wrapText="1"/>
    </xf>
    <xf numFmtId="0" fontId="15" fillId="4" borderId="7" xfId="0" quotePrefix="1" applyFont="1" applyFill="1" applyBorder="1" applyAlignment="1">
      <alignment horizontal="center" vertical="center" wrapText="1"/>
    </xf>
    <xf numFmtId="0" fontId="15" fillId="6"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5" borderId="7" xfId="0" applyFont="1" applyFill="1" applyBorder="1"/>
    <xf numFmtId="0" fontId="15" fillId="5" borderId="7" xfId="0" quotePrefix="1" applyFont="1" applyFill="1" applyBorder="1" applyAlignment="1">
      <alignment horizontal="center" vertical="center" wrapText="1"/>
    </xf>
    <xf numFmtId="0" fontId="1" fillId="0" borderId="11" xfId="0" applyFont="1" applyBorder="1" applyAlignment="1">
      <alignment horizontal="center" vertical="center" wrapText="1"/>
    </xf>
    <xf numFmtId="0" fontId="15" fillId="4" borderId="7" xfId="0" applyFont="1" applyFill="1" applyBorder="1" applyAlignment="1">
      <alignment vertical="top"/>
    </xf>
    <xf numFmtId="0" fontId="15" fillId="4" borderId="7" xfId="0" applyFont="1" applyFill="1" applyBorder="1" applyAlignment="1">
      <alignment horizontal="center" vertical="top" wrapText="1"/>
    </xf>
    <xf numFmtId="0" fontId="15" fillId="4" borderId="7" xfId="0" applyFont="1" applyFill="1" applyBorder="1" applyAlignment="1">
      <alignment vertical="top" wrapText="1"/>
    </xf>
    <xf numFmtId="0" fontId="12" fillId="4" borderId="7" xfId="0" applyFont="1" applyFill="1" applyBorder="1" applyAlignment="1">
      <alignment vertical="top" wrapText="1"/>
    </xf>
    <xf numFmtId="0" fontId="15" fillId="4" borderId="7" xfId="0" applyFont="1" applyFill="1" applyBorder="1" applyAlignment="1">
      <alignment horizontal="left" vertical="top" wrapText="1"/>
    </xf>
    <xf numFmtId="0" fontId="15" fillId="6" borderId="7" xfId="0" applyFont="1" applyFill="1" applyBorder="1" applyAlignment="1">
      <alignment vertical="top"/>
    </xf>
    <xf numFmtId="0" fontId="15" fillId="6" borderId="7" xfId="0" applyFont="1" applyFill="1" applyBorder="1" applyAlignment="1">
      <alignment vertical="top" wrapText="1"/>
    </xf>
    <xf numFmtId="0" fontId="12" fillId="6" borderId="7" xfId="0" applyFont="1" applyFill="1" applyBorder="1" applyAlignment="1">
      <alignment vertical="top" wrapText="1"/>
    </xf>
    <xf numFmtId="164" fontId="0" fillId="0" borderId="0" xfId="0" applyNumberFormat="1"/>
    <xf numFmtId="0" fontId="18" fillId="0" borderId="0" xfId="0" applyFont="1" applyFill="1" applyAlignment="1">
      <alignment wrapText="1"/>
    </xf>
    <xf numFmtId="0" fontId="4" fillId="11" borderId="6" xfId="0" applyFont="1" applyFill="1" applyBorder="1" applyAlignment="1">
      <alignment vertical="top" wrapText="1"/>
    </xf>
    <xf numFmtId="0" fontId="8" fillId="2" borderId="0" xfId="0" applyFont="1" applyFill="1" applyAlignment="1">
      <alignment vertical="center" wrapText="1"/>
    </xf>
    <xf numFmtId="0" fontId="8" fillId="2" borderId="7" xfId="0" applyFont="1" applyFill="1" applyBorder="1" applyAlignment="1">
      <alignment vertical="center" wrapText="1"/>
    </xf>
    <xf numFmtId="0" fontId="19" fillId="2" borderId="7" xfId="0" applyFont="1" applyFill="1" applyBorder="1" applyAlignment="1">
      <alignment vertical="center" wrapText="1"/>
    </xf>
    <xf numFmtId="0" fontId="9" fillId="3" borderId="7" xfId="0" applyFont="1" applyFill="1" applyBorder="1" applyAlignment="1">
      <alignment wrapText="1"/>
    </xf>
    <xf numFmtId="0" fontId="9" fillId="3" borderId="7" xfId="0" applyFont="1" applyFill="1" applyBorder="1" applyAlignment="1">
      <alignment vertical="center" wrapText="1"/>
    </xf>
    <xf numFmtId="0" fontId="9" fillId="0" borderId="7" xfId="0" applyFont="1" applyFill="1" applyBorder="1" applyAlignment="1">
      <alignment wrapText="1"/>
    </xf>
    <xf numFmtId="0" fontId="9" fillId="0" borderId="7" xfId="0" applyFont="1" applyFill="1" applyBorder="1" applyAlignment="1">
      <alignment vertical="center" wrapText="1"/>
    </xf>
    <xf numFmtId="0" fontId="0" fillId="0" borderId="7" xfId="0" applyFill="1" applyBorder="1" applyAlignment="1">
      <alignment wrapText="1"/>
    </xf>
    <xf numFmtId="0" fontId="18" fillId="0" borderId="7" xfId="0" applyFont="1" applyFill="1" applyBorder="1" applyAlignment="1">
      <alignment wrapText="1"/>
    </xf>
    <xf numFmtId="0" fontId="0" fillId="0" borderId="7" xfId="0" quotePrefix="1" applyBorder="1" applyAlignment="1">
      <alignment wrapText="1"/>
    </xf>
    <xf numFmtId="0" fontId="0" fillId="9" borderId="7" xfId="0" applyFill="1" applyBorder="1" applyAlignment="1">
      <alignment wrapText="1"/>
    </xf>
    <xf numFmtId="0" fontId="9" fillId="9" borderId="7" xfId="0" applyFont="1" applyFill="1" applyBorder="1" applyAlignment="1">
      <alignment wrapText="1"/>
    </xf>
    <xf numFmtId="0" fontId="9" fillId="9" borderId="7" xfId="0" applyFont="1" applyFill="1" applyBorder="1" applyAlignment="1">
      <alignment vertical="center" wrapText="1"/>
    </xf>
    <xf numFmtId="0" fontId="0" fillId="9" borderId="0" xfId="0" applyFill="1" applyAlignment="1">
      <alignment wrapText="1"/>
    </xf>
    <xf numFmtId="0" fontId="9" fillId="9" borderId="7" xfId="0" applyFont="1" applyFill="1" applyBorder="1" applyAlignment="1">
      <alignment horizontal="left" vertical="top" wrapText="1"/>
    </xf>
    <xf numFmtId="0" fontId="17" fillId="9" borderId="7" xfId="0" applyFont="1" applyFill="1" applyBorder="1"/>
    <xf numFmtId="0" fontId="15" fillId="9" borderId="7" xfId="0" applyFont="1" applyFill="1" applyBorder="1" applyAlignment="1">
      <alignment vertical="top"/>
    </xf>
    <xf numFmtId="0" fontId="15" fillId="9" borderId="7" xfId="0" applyFont="1" applyFill="1" applyBorder="1" applyAlignment="1">
      <alignment horizontal="center" vertical="top" wrapText="1"/>
    </xf>
    <xf numFmtId="0" fontId="12" fillId="9" borderId="7" xfId="0" applyFont="1" applyFill="1" applyBorder="1" applyAlignment="1">
      <alignment horizontal="center" vertical="top" wrapText="1"/>
    </xf>
    <xf numFmtId="0" fontId="15" fillId="9" borderId="7" xfId="0" applyFont="1" applyFill="1" applyBorder="1" applyAlignment="1">
      <alignment vertical="top" wrapText="1"/>
    </xf>
    <xf numFmtId="0" fontId="12" fillId="9" borderId="7" xfId="0" applyFont="1" applyFill="1" applyBorder="1" applyAlignment="1">
      <alignment vertical="top" wrapText="1"/>
    </xf>
    <xf numFmtId="0" fontId="15" fillId="9" borderId="7" xfId="0" applyFont="1" applyFill="1" applyBorder="1" applyAlignment="1">
      <alignment horizontal="left" vertical="top" wrapText="1"/>
    </xf>
    <xf numFmtId="0" fontId="12" fillId="10" borderId="7" xfId="0" applyFont="1" applyFill="1" applyBorder="1"/>
    <xf numFmtId="0" fontId="12" fillId="10" borderId="7" xfId="0" applyFont="1" applyFill="1" applyBorder="1" applyAlignment="1">
      <alignment wrapText="1"/>
    </xf>
    <xf numFmtId="0" fontId="12" fillId="10" borderId="7" xfId="0" applyFont="1" applyFill="1" applyBorder="1" applyAlignment="1">
      <alignment horizontal="center" vertical="center" wrapText="1"/>
    </xf>
    <xf numFmtId="0" fontId="12" fillId="10" borderId="7" xfId="0" applyFont="1" applyFill="1" applyBorder="1" applyAlignment="1">
      <alignment horizontal="left" vertical="top" wrapText="1"/>
    </xf>
    <xf numFmtId="0" fontId="12" fillId="10" borderId="7" xfId="0" applyFont="1" applyFill="1" applyBorder="1" applyAlignment="1">
      <alignment horizontal="center" vertical="top" wrapText="1"/>
    </xf>
    <xf numFmtId="0" fontId="1" fillId="0" borderId="13" xfId="0" applyFont="1" applyFill="1" applyBorder="1" applyAlignment="1">
      <alignment wrapText="1"/>
    </xf>
    <xf numFmtId="0" fontId="4" fillId="0" borderId="5" xfId="0" applyFont="1" applyFill="1" applyBorder="1" applyAlignment="1">
      <alignment wrapText="1"/>
    </xf>
    <xf numFmtId="0" fontId="4" fillId="11" borderId="3" xfId="0" applyFont="1" applyFill="1" applyBorder="1" applyAlignment="1">
      <alignment wrapText="1"/>
    </xf>
    <xf numFmtId="0" fontId="21" fillId="0" borderId="0" xfId="0" applyFont="1" applyAlignment="1">
      <alignment vertical="top" wrapText="1"/>
    </xf>
    <xf numFmtId="0" fontId="4" fillId="7" borderId="12" xfId="0" applyFont="1" applyFill="1" applyBorder="1" applyAlignment="1">
      <alignment vertical="top" wrapText="1"/>
    </xf>
    <xf numFmtId="0" fontId="4" fillId="7" borderId="6" xfId="0" applyFont="1" applyFill="1" applyBorder="1" applyAlignment="1">
      <alignment vertical="top" wrapText="1"/>
    </xf>
    <xf numFmtId="0" fontId="12" fillId="9" borderId="7" xfId="0" applyFont="1" applyFill="1" applyBorder="1" applyAlignment="1">
      <alignment horizontal="left" vertical="top"/>
    </xf>
    <xf numFmtId="0" fontId="12" fillId="6" borderId="7" xfId="0" applyFont="1" applyFill="1" applyBorder="1" applyAlignment="1">
      <alignment horizontal="left" vertical="top"/>
    </xf>
    <xf numFmtId="0" fontId="15" fillId="6" borderId="7" xfId="0" applyFont="1" applyFill="1" applyBorder="1" applyAlignment="1">
      <alignment horizontal="left" vertical="top"/>
    </xf>
    <xf numFmtId="0" fontId="15" fillId="9" borderId="7" xfId="0" applyFont="1" applyFill="1" applyBorder="1" applyAlignment="1">
      <alignment horizontal="left" vertical="top"/>
    </xf>
    <xf numFmtId="0" fontId="12" fillId="4" borderId="7" xfId="0" applyFont="1" applyFill="1" applyBorder="1" applyAlignment="1">
      <alignment horizontal="left" vertical="top"/>
    </xf>
    <xf numFmtId="0" fontId="15" fillId="4" borderId="7" xfId="0" applyFont="1" applyFill="1" applyBorder="1" applyAlignment="1">
      <alignment horizontal="left" vertical="top"/>
    </xf>
    <xf numFmtId="0" fontId="12" fillId="5" borderId="7" xfId="0" applyFont="1" applyFill="1" applyBorder="1" applyAlignment="1">
      <alignment horizontal="left" vertical="top"/>
    </xf>
    <xf numFmtId="0" fontId="15" fillId="5" borderId="7" xfId="0" applyFont="1" applyFill="1" applyBorder="1" applyAlignment="1">
      <alignment horizontal="left" vertical="top"/>
    </xf>
    <xf numFmtId="0" fontId="12" fillId="2" borderId="7" xfId="0" applyFont="1" applyFill="1" applyBorder="1" applyAlignment="1">
      <alignment horizontal="left" vertical="top"/>
    </xf>
    <xf numFmtId="0" fontId="23" fillId="0" borderId="7" xfId="0" applyFont="1" applyBorder="1"/>
    <xf numFmtId="0" fontId="0" fillId="12" borderId="7" xfId="0" applyFill="1" applyBorder="1" applyAlignment="1">
      <alignment wrapText="1"/>
    </xf>
    <xf numFmtId="0" fontId="9" fillId="12" borderId="7" xfId="0" applyFont="1" applyFill="1" applyBorder="1" applyAlignment="1">
      <alignment wrapText="1"/>
    </xf>
    <xf numFmtId="0" fontId="0" fillId="0" borderId="0" xfId="0" applyAlignment="1">
      <alignment horizontal="center" vertical="center"/>
    </xf>
    <xf numFmtId="0" fontId="12" fillId="0" borderId="0" xfId="0" applyFont="1" applyAlignment="1">
      <alignment horizontal="center" vertical="center"/>
    </xf>
    <xf numFmtId="0" fontId="12" fillId="13" borderId="14" xfId="0" applyFont="1" applyFill="1" applyBorder="1" applyAlignment="1">
      <alignment horizontal="center" vertical="center" wrapText="1"/>
    </xf>
    <xf numFmtId="0" fontId="12" fillId="13" borderId="15" xfId="0" applyFont="1" applyFill="1" applyBorder="1" applyAlignment="1">
      <alignment horizontal="center" vertical="center" wrapText="1"/>
    </xf>
    <xf numFmtId="0" fontId="0" fillId="13" borderId="15" xfId="0" applyFill="1" applyBorder="1" applyAlignment="1">
      <alignment horizontal="center" vertical="center" wrapText="1"/>
    </xf>
    <xf numFmtId="0" fontId="0" fillId="0" borderId="15" xfId="0" applyBorder="1"/>
    <xf numFmtId="0" fontId="12" fillId="0" borderId="15" xfId="0" applyFont="1" applyBorder="1" applyAlignment="1">
      <alignment horizontal="center" vertical="center"/>
    </xf>
    <xf numFmtId="0" fontId="12" fillId="13" borderId="16"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8" xfId="0" applyBorder="1" applyAlignment="1">
      <alignment horizontal="center"/>
    </xf>
    <xf numFmtId="0" fontId="12" fillId="0" borderId="14" xfId="0" applyFont="1" applyBorder="1" applyAlignment="1">
      <alignment horizontal="center" vertical="center"/>
    </xf>
    <xf numFmtId="0" fontId="0" fillId="0" borderId="15" xfId="0" applyBorder="1" applyAlignment="1">
      <alignment horizontal="center" vertical="center"/>
    </xf>
    <xf numFmtId="0" fontId="12" fillId="0" borderId="16" xfId="0" applyFont="1" applyBorder="1" applyAlignment="1">
      <alignment horizontal="center" vertical="center"/>
    </xf>
    <xf numFmtId="0" fontId="0" fillId="0" borderId="14" xfId="0" applyBorder="1" applyAlignment="1">
      <alignment horizontal="center"/>
    </xf>
    <xf numFmtId="0" fontId="0" fillId="0" borderId="16" xfId="0" applyBorder="1" applyAlignment="1">
      <alignment horizontal="center"/>
    </xf>
    <xf numFmtId="0" fontId="10" fillId="8" borderId="8" xfId="0" applyFont="1" applyFill="1" applyBorder="1" applyAlignment="1">
      <alignment horizontal="center" vertical="center" wrapText="1"/>
    </xf>
    <xf numFmtId="0" fontId="10" fillId="8" borderId="9" xfId="0" applyFont="1" applyFill="1" applyBorder="1" applyAlignment="1">
      <alignment horizontal="center" vertical="center" wrapText="1"/>
    </xf>
    <xf numFmtId="0" fontId="10" fillId="8" borderId="10" xfId="0" applyFont="1" applyFill="1" applyBorder="1" applyAlignment="1">
      <alignment horizontal="center" vertical="center" wrapText="1"/>
    </xf>
    <xf numFmtId="0" fontId="26" fillId="0" borderId="0" xfId="0" applyFont="1" applyFill="1" applyBorder="1" applyAlignment="1">
      <alignment vertical="center"/>
    </xf>
    <xf numFmtId="0" fontId="0" fillId="0" borderId="0" xfId="0" applyAlignment="1"/>
    <xf numFmtId="0" fontId="27" fillId="0" borderId="0" xfId="0" applyFont="1" applyFill="1" applyBorder="1" applyAlignment="1">
      <alignment vertical="center"/>
    </xf>
    <xf numFmtId="0" fontId="28" fillId="0" borderId="0" xfId="0" applyFont="1"/>
    <xf numFmtId="0" fontId="28" fillId="0" borderId="0" xfId="0" applyFont="1" applyAlignment="1">
      <alignment horizontal="center"/>
    </xf>
    <xf numFmtId="0" fontId="28" fillId="0" borderId="0" xfId="0" applyFont="1" applyFill="1"/>
    <xf numFmtId="0" fontId="28" fillId="0" borderId="0" xfId="0" applyFont="1" applyFill="1" applyAlignment="1"/>
    <xf numFmtId="0" fontId="28" fillId="0" borderId="19" xfId="0" applyFont="1" applyFill="1" applyBorder="1" applyAlignment="1">
      <alignment vertical="center" wrapText="1"/>
    </xf>
    <xf numFmtId="0" fontId="28" fillId="0" borderId="19" xfId="0" applyFont="1" applyFill="1" applyBorder="1" applyAlignment="1">
      <alignment vertical="top" wrapText="1"/>
    </xf>
    <xf numFmtId="0" fontId="28" fillId="0" borderId="0" xfId="0" applyFont="1" applyFill="1" applyBorder="1" applyAlignment="1">
      <alignment vertical="center" wrapText="1"/>
    </xf>
    <xf numFmtId="0" fontId="28" fillId="0" borderId="0" xfId="0" applyFont="1" applyFill="1" applyBorder="1" applyAlignment="1">
      <alignment vertical="top" wrapText="1"/>
    </xf>
    <xf numFmtId="0" fontId="29" fillId="0" borderId="0" xfId="0" applyFont="1"/>
    <xf numFmtId="0" fontId="28" fillId="0" borderId="0" xfId="0" applyFont="1" applyFill="1" applyBorder="1"/>
    <xf numFmtId="0" fontId="28" fillId="0" borderId="20" xfId="0" applyFont="1" applyBorder="1"/>
    <xf numFmtId="0" fontId="28" fillId="0" borderId="20" xfId="0" applyFont="1" applyBorder="1" applyAlignment="1">
      <alignment horizontal="center"/>
    </xf>
    <xf numFmtId="0" fontId="28" fillId="0" borderId="20" xfId="0" applyFont="1" applyFill="1" applyBorder="1" applyAlignment="1">
      <alignment horizontal="center"/>
    </xf>
    <xf numFmtId="0" fontId="26" fillId="0" borderId="20" xfId="0" applyFont="1" applyBorder="1" applyAlignment="1">
      <alignment vertical="center"/>
    </xf>
    <xf numFmtId="0" fontId="28" fillId="14" borderId="20" xfId="0" applyFont="1" applyFill="1" applyBorder="1" applyAlignment="1">
      <alignment horizontal="center" vertical="center" wrapText="1"/>
    </xf>
    <xf numFmtId="0" fontId="28" fillId="14" borderId="20" xfId="0" applyFont="1" applyFill="1" applyBorder="1" applyAlignment="1">
      <alignment vertical="center" wrapText="1"/>
    </xf>
    <xf numFmtId="0" fontId="12" fillId="14" borderId="20" xfId="0" applyFont="1" applyFill="1" applyBorder="1" applyAlignment="1">
      <alignment horizontal="center" vertical="center" wrapText="1"/>
    </xf>
    <xf numFmtId="0" fontId="28" fillId="0" borderId="20" xfId="0" applyFont="1" applyBorder="1" applyAlignment="1">
      <alignment vertical="center"/>
    </xf>
    <xf numFmtId="0" fontId="28" fillId="0" borderId="20" xfId="0" applyFont="1" applyBorder="1" applyAlignment="1">
      <alignment horizontal="center" vertical="center"/>
    </xf>
    <xf numFmtId="0" fontId="12" fillId="0" borderId="20" xfId="0" applyFont="1" applyBorder="1" applyAlignment="1">
      <alignment horizontal="center" vertical="center"/>
    </xf>
    <xf numFmtId="0" fontId="28" fillId="0" borderId="20" xfId="0" applyFont="1" applyFill="1" applyBorder="1"/>
    <xf numFmtId="0" fontId="28" fillId="0" borderId="20" xfId="0" applyFont="1" applyFill="1" applyBorder="1" applyAlignment="1">
      <alignment vertical="center" wrapText="1"/>
    </xf>
    <xf numFmtId="0" fontId="28" fillId="0" borderId="20" xfId="0" applyFont="1" applyFill="1" applyBorder="1" applyAlignment="1">
      <alignment horizontal="center" vertical="center" wrapText="1"/>
    </xf>
    <xf numFmtId="0" fontId="28" fillId="15" borderId="20" xfId="0" applyFont="1" applyFill="1" applyBorder="1"/>
    <xf numFmtId="0" fontId="28" fillId="15" borderId="20" xfId="0" applyFont="1" applyFill="1" applyBorder="1" applyAlignment="1">
      <alignment horizontal="center"/>
    </xf>
    <xf numFmtId="0" fontId="28" fillId="15" borderId="20" xfId="0" applyFont="1" applyFill="1" applyBorder="1" applyAlignment="1">
      <alignment horizontal="center" vertical="center" wrapText="1"/>
    </xf>
    <xf numFmtId="0" fontId="12" fillId="15" borderId="20" xfId="0" applyFont="1" applyFill="1" applyBorder="1" applyAlignment="1">
      <alignment horizontal="center" vertical="center" wrapText="1"/>
    </xf>
    <xf numFmtId="0" fontId="28" fillId="0" borderId="0" xfId="0" applyFont="1" applyAlignment="1">
      <alignment horizontal="right"/>
    </xf>
  </cellXfs>
  <cellStyles count="1">
    <cellStyle name="Normal" xfId="0" builtinId="0"/>
  </cellStyles>
  <dxfs count="18">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medium">
          <color rgb="FFCCCCCC"/>
        </top>
        <bottom/>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general"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style="medium">
          <color rgb="FFCCCCCC"/>
        </left>
        <right/>
        <top style="medium">
          <color rgb="FFCCCCCC"/>
        </top>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alignment horizontal="center" vertical="center" textRotation="0" wrapText="1"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8"/>
        <color theme="1"/>
        <name val="Franklin Gothic Book"/>
        <family val="2"/>
        <scheme val="none"/>
      </font>
      <fill>
        <patternFill patternType="none">
          <fgColor indexed="64"/>
          <bgColor indexed="65"/>
        </patternFill>
      </fill>
    </dxf>
    <dxf>
      <font>
        <b/>
        <i val="0"/>
        <strike val="0"/>
        <condense val="0"/>
        <extend val="0"/>
        <outline val="0"/>
        <shadow val="0"/>
        <u val="none"/>
        <vertAlign val="baseline"/>
        <sz val="8"/>
        <color theme="0"/>
        <name val="Franklin Gothic Book"/>
        <family val="2"/>
        <scheme val="none"/>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0A939AB-F2D7-47CF-8C1D-13854507B84E}" name="Table1" displayName="Table1" ref="A1:P22" totalsRowShown="0" headerRowDxfId="17" dataDxfId="16">
  <autoFilter ref="A1:P22" xr:uid="{DCD11114-9925-475D-8F15-0A51513F8B30}"/>
  <tableColumns count="16">
    <tableColumn id="1" xr3:uid="{C7E4F67F-A827-424D-A7CF-331DEC7AD1E7}" name="Unique ID" dataDxfId="15"/>
    <tableColumn id="20" xr3:uid="{7584618F-AA87-41A5-A72E-8C9BADFF27AA}" name="App G Section ID" dataDxfId="14"/>
    <tableColumn id="2" xr3:uid="{8F2CC676-CE73-406D-91BF-5FE792664CC2}" name="Rule ID" dataDxfId="13"/>
    <tableColumn id="3" xr3:uid="{0A63582D-9F2D-4E9A-ADEE-4B178274CDE7}" name="Class 1" dataDxfId="12"/>
    <tableColumn id="4" xr3:uid="{CDE9558D-21F7-43F5-B817-1BF813659BE2}" name="Class 2" dataDxfId="11"/>
    <tableColumn id="5" xr3:uid="{63110ACD-A6AF-404B-AD8D-B54D6AEB04D6}" name="Class 3" dataDxfId="10"/>
    <tableColumn id="6" xr3:uid="{9601C3E5-6435-4052-B682-0D1D5519BBB9}" name="2016" dataDxfId="9"/>
    <tableColumn id="7" xr3:uid="{7B254677-5C00-4D5D-935F-3B24A4DD16CB}" name="2019" dataDxfId="8"/>
    <tableColumn id="8" xr3:uid="{B7BAD927-B752-4CD5-AB4A-BB6F431DEB88}" name="App G Section" dataDxfId="7"/>
    <tableColumn id="9" xr3:uid="{A3A68FED-9393-431E-8D3C-96346D5BC801}" name="Mandatory 90.1 Requirement" dataDxfId="6"/>
    <tableColumn id="21" xr3:uid="{FDC14678-0BD2-411B-A4FF-14143CEB27BC}" name="Rule ID2" dataDxfId="5">
      <calculatedColumnFormula>1</calculatedColumnFormula>
    </tableColumn>
    <tableColumn id="10" xr3:uid="{714D9163-D380-4318-AFB3-FA94B3D9467F}" name="Proposed Building Requirement" dataDxfId="4"/>
    <tableColumn id="11" xr3:uid="{DFEDD881-E433-4720-8248-21E3CEF4B344}" name="Baseline Building Requirement" dataDxfId="3"/>
    <tableColumn id="12" xr3:uid="{8DFE66AE-BEB0-4D21-9241-3D6B00891AE6}" name="Rule Dependencies (triggers)" dataDxfId="2"/>
    <tableColumn id="13" xr3:uid="{BAC0F9E1-604F-402B-8404-6AFF6FBC4FD4}" name="Requires data lookup" dataDxfId="1"/>
    <tableColumn id="14" xr3:uid="{037F423E-F8E0-45E3-924D-6F3F8568803E}" name="Logic"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481EB-5B68-471E-B188-269D01FCADEE}">
  <dimension ref="A1:R24"/>
  <sheetViews>
    <sheetView topLeftCell="B1" workbookViewId="0">
      <selection activeCell="B2" sqref="B1:B2"/>
    </sheetView>
  </sheetViews>
  <sheetFormatPr defaultRowHeight="14.4" x14ac:dyDescent="0.3"/>
  <cols>
    <col min="1" max="1" width="9.6640625" hidden="1" customWidth="1"/>
    <col min="2" max="2" width="10.44140625" customWidth="1"/>
    <col min="3" max="8" width="8.88671875" hidden="1" customWidth="1"/>
    <col min="9" max="9" width="12.6640625" customWidth="1"/>
    <col min="10" max="10" width="15.6640625" hidden="1" customWidth="1"/>
    <col min="11" max="11" width="6.109375" customWidth="1"/>
    <col min="12" max="12" width="25.44140625" customWidth="1"/>
    <col min="13" max="13" width="60.6640625" customWidth="1"/>
    <col min="14" max="14" width="66.33203125" customWidth="1"/>
    <col min="15" max="15" width="11.6640625" customWidth="1"/>
    <col min="16" max="16" width="34.44140625" customWidth="1"/>
    <col min="17" max="17" width="53.5546875" customWidth="1"/>
    <col min="18" max="18" width="48.21875" customWidth="1"/>
  </cols>
  <sheetData>
    <row r="1" spans="1:18" ht="22.2" thickBot="1" x14ac:dyDescent="0.35">
      <c r="A1" s="7" t="s">
        <v>49</v>
      </c>
      <c r="B1" s="9" t="s">
        <v>108</v>
      </c>
      <c r="C1" s="8" t="s">
        <v>0</v>
      </c>
      <c r="D1" s="40" t="s">
        <v>72</v>
      </c>
      <c r="E1" s="41" t="s">
        <v>73</v>
      </c>
      <c r="F1" s="42" t="s">
        <v>74</v>
      </c>
      <c r="G1" s="43" t="s">
        <v>75</v>
      </c>
      <c r="H1" s="43" t="s">
        <v>76</v>
      </c>
      <c r="I1" s="9" t="s">
        <v>1</v>
      </c>
      <c r="J1" s="43" t="s">
        <v>83</v>
      </c>
      <c r="K1" s="9" t="s">
        <v>173</v>
      </c>
      <c r="L1" s="9" t="s">
        <v>2</v>
      </c>
      <c r="M1" s="9" t="s">
        <v>3</v>
      </c>
      <c r="N1" s="92" t="s">
        <v>803</v>
      </c>
      <c r="O1" s="10" t="s">
        <v>82</v>
      </c>
      <c r="P1" s="121" t="s">
        <v>168</v>
      </c>
      <c r="Q1" s="122" t="s">
        <v>812</v>
      </c>
      <c r="R1" s="122" t="s">
        <v>166</v>
      </c>
    </row>
    <row r="2" spans="1:18" ht="130.19999999999999" thickBot="1" x14ac:dyDescent="0.35">
      <c r="A2" s="2">
        <v>27</v>
      </c>
      <c r="B2" s="4">
        <v>5</v>
      </c>
      <c r="C2" s="3" t="s">
        <v>12</v>
      </c>
      <c r="D2" s="4" t="s">
        <v>10</v>
      </c>
      <c r="E2" s="4" t="s">
        <v>4</v>
      </c>
      <c r="F2" s="4" t="s">
        <v>13</v>
      </c>
      <c r="G2" s="4" t="s">
        <v>5</v>
      </c>
      <c r="H2" s="4" t="s">
        <v>5</v>
      </c>
      <c r="I2" s="4" t="s">
        <v>14</v>
      </c>
      <c r="J2" s="4"/>
      <c r="K2" s="4">
        <f>1</f>
        <v>1</v>
      </c>
      <c r="L2" s="5" t="s">
        <v>7</v>
      </c>
      <c r="M2" s="5" t="s">
        <v>810</v>
      </c>
      <c r="N2" s="5" t="s">
        <v>815</v>
      </c>
      <c r="O2" s="5" t="s">
        <v>160</v>
      </c>
      <c r="P2" s="120" t="s">
        <v>811</v>
      </c>
      <c r="Q2" s="123" t="s">
        <v>813</v>
      </c>
      <c r="R2" s="15" t="s">
        <v>814</v>
      </c>
    </row>
    <row r="3" spans="1:18" ht="33" thickBot="1" x14ac:dyDescent="0.35">
      <c r="A3" s="2">
        <v>28</v>
      </c>
      <c r="B3" s="4">
        <v>5</v>
      </c>
      <c r="C3" s="3" t="s">
        <v>15</v>
      </c>
      <c r="D3" s="4" t="s">
        <v>10</v>
      </c>
      <c r="E3" s="4" t="s">
        <v>33</v>
      </c>
      <c r="F3" s="4" t="s">
        <v>80</v>
      </c>
      <c r="G3" s="4" t="s">
        <v>5</v>
      </c>
      <c r="H3" s="4" t="s">
        <v>5</v>
      </c>
      <c r="I3" s="4" t="s">
        <v>17</v>
      </c>
      <c r="J3" s="4"/>
      <c r="K3" s="4">
        <f>K2+1</f>
        <v>2</v>
      </c>
      <c r="L3" s="5" t="s">
        <v>7</v>
      </c>
      <c r="M3" s="5" t="s">
        <v>43</v>
      </c>
      <c r="N3" s="5" t="s">
        <v>868</v>
      </c>
      <c r="O3" s="5" t="s">
        <v>703</v>
      </c>
      <c r="P3" s="1"/>
      <c r="Q3" s="1"/>
    </row>
    <row r="4" spans="1:18" ht="33" thickBot="1" x14ac:dyDescent="0.35">
      <c r="A4" s="2">
        <v>29</v>
      </c>
      <c r="B4" s="4">
        <v>5</v>
      </c>
      <c r="C4" s="3" t="s">
        <v>18</v>
      </c>
      <c r="D4" s="4" t="s">
        <v>10</v>
      </c>
      <c r="E4" s="4" t="s">
        <v>69</v>
      </c>
      <c r="F4" s="4" t="s">
        <v>80</v>
      </c>
      <c r="G4" s="4" t="s">
        <v>5</v>
      </c>
      <c r="H4" s="4" t="s">
        <v>5</v>
      </c>
      <c r="I4" s="4" t="s">
        <v>17</v>
      </c>
      <c r="J4" s="4"/>
      <c r="K4" s="4">
        <f t="shared" ref="K4:K19" si="0">K3+1</f>
        <v>3</v>
      </c>
      <c r="L4" s="5" t="s">
        <v>7</v>
      </c>
      <c r="M4" s="5" t="s">
        <v>44</v>
      </c>
      <c r="N4" s="5" t="s">
        <v>868</v>
      </c>
      <c r="O4" s="5" t="s">
        <v>703</v>
      </c>
      <c r="P4" s="1"/>
      <c r="Q4" s="1"/>
    </row>
    <row r="5" spans="1:18" ht="33" thickBot="1" x14ac:dyDescent="0.35">
      <c r="A5" s="2">
        <v>30</v>
      </c>
      <c r="B5" s="4">
        <v>5</v>
      </c>
      <c r="C5" s="3" t="s">
        <v>19</v>
      </c>
      <c r="D5" s="4" t="s">
        <v>10</v>
      </c>
      <c r="E5" s="4" t="s">
        <v>69</v>
      </c>
      <c r="F5" s="4" t="s">
        <v>80</v>
      </c>
      <c r="G5" s="4" t="s">
        <v>5</v>
      </c>
      <c r="H5" s="4" t="s">
        <v>5</v>
      </c>
      <c r="I5" s="4" t="s">
        <v>17</v>
      </c>
      <c r="J5" s="4"/>
      <c r="K5" s="4">
        <f t="shared" si="0"/>
        <v>4</v>
      </c>
      <c r="L5" s="5" t="s">
        <v>7</v>
      </c>
      <c r="M5" s="5" t="s">
        <v>45</v>
      </c>
      <c r="N5" s="5" t="s">
        <v>868</v>
      </c>
      <c r="O5" s="5" t="s">
        <v>703</v>
      </c>
      <c r="P5" s="1"/>
      <c r="Q5" s="1"/>
    </row>
    <row r="6" spans="1:18" ht="33" thickBot="1" x14ac:dyDescent="0.35">
      <c r="A6" s="2">
        <v>31</v>
      </c>
      <c r="B6" s="4">
        <v>5</v>
      </c>
      <c r="C6" s="3" t="s">
        <v>20</v>
      </c>
      <c r="D6" s="4" t="s">
        <v>10</v>
      </c>
      <c r="E6" s="4" t="s">
        <v>70</v>
      </c>
      <c r="F6" s="4" t="s">
        <v>80</v>
      </c>
      <c r="G6" s="4" t="s">
        <v>5</v>
      </c>
      <c r="H6" s="4" t="s">
        <v>5</v>
      </c>
      <c r="I6" s="4" t="s">
        <v>17</v>
      </c>
      <c r="J6" s="4"/>
      <c r="K6" s="4">
        <f t="shared" si="0"/>
        <v>5</v>
      </c>
      <c r="L6" s="5" t="s">
        <v>7</v>
      </c>
      <c r="M6" s="5" t="s">
        <v>46</v>
      </c>
      <c r="N6" s="5" t="s">
        <v>868</v>
      </c>
      <c r="O6" s="5" t="s">
        <v>703</v>
      </c>
      <c r="P6" s="1"/>
      <c r="Q6" s="1"/>
    </row>
    <row r="7" spans="1:18" ht="54.6" thickBot="1" x14ac:dyDescent="0.35">
      <c r="A7" s="2">
        <v>32</v>
      </c>
      <c r="B7" s="4">
        <v>5</v>
      </c>
      <c r="C7" s="3" t="s">
        <v>21</v>
      </c>
      <c r="D7" s="4" t="s">
        <v>10</v>
      </c>
      <c r="E7" s="4" t="s">
        <v>70</v>
      </c>
      <c r="F7" s="4" t="s">
        <v>80</v>
      </c>
      <c r="G7" s="4" t="s">
        <v>5</v>
      </c>
      <c r="H7" s="4" t="s">
        <v>5</v>
      </c>
      <c r="I7" s="4" t="s">
        <v>17</v>
      </c>
      <c r="J7" s="4"/>
      <c r="K7" s="4">
        <f t="shared" si="0"/>
        <v>6</v>
      </c>
      <c r="L7" s="5" t="s">
        <v>7</v>
      </c>
      <c r="M7" s="5" t="s">
        <v>47</v>
      </c>
      <c r="N7" s="5" t="s">
        <v>868</v>
      </c>
      <c r="O7" s="5" t="s">
        <v>703</v>
      </c>
      <c r="P7" s="1"/>
      <c r="Q7" s="1"/>
    </row>
    <row r="8" spans="1:18" ht="119.4" thickBot="1" x14ac:dyDescent="0.35">
      <c r="A8" s="2">
        <v>33</v>
      </c>
      <c r="B8" s="4">
        <v>5</v>
      </c>
      <c r="C8" s="3" t="s">
        <v>22</v>
      </c>
      <c r="D8" s="4" t="s">
        <v>10</v>
      </c>
      <c r="E8" s="4" t="s">
        <v>23</v>
      </c>
      <c r="F8" s="4" t="s">
        <v>50</v>
      </c>
      <c r="G8" s="4" t="s">
        <v>5</v>
      </c>
      <c r="H8" s="5"/>
      <c r="I8" s="4" t="s">
        <v>24</v>
      </c>
      <c r="J8" s="4"/>
      <c r="K8" s="4">
        <f t="shared" si="0"/>
        <v>7</v>
      </c>
      <c r="L8" s="5" t="s">
        <v>7</v>
      </c>
      <c r="M8" s="71" t="s">
        <v>393</v>
      </c>
      <c r="N8" s="5"/>
      <c r="O8" s="5" t="s">
        <v>703</v>
      </c>
      <c r="P8" s="1"/>
      <c r="Q8" s="1"/>
    </row>
    <row r="9" spans="1:18" ht="43.8" thickBot="1" x14ac:dyDescent="0.35">
      <c r="A9" s="2">
        <v>34</v>
      </c>
      <c r="B9" s="4">
        <v>5</v>
      </c>
      <c r="C9" s="3" t="s">
        <v>25</v>
      </c>
      <c r="D9" s="4" t="s">
        <v>10</v>
      </c>
      <c r="E9" s="4" t="s">
        <v>23</v>
      </c>
      <c r="F9" s="4" t="s">
        <v>80</v>
      </c>
      <c r="G9" s="4" t="s">
        <v>5</v>
      </c>
      <c r="H9" s="4" t="s">
        <v>5</v>
      </c>
      <c r="I9" s="4" t="s">
        <v>26</v>
      </c>
      <c r="J9" s="4"/>
      <c r="K9" s="4">
        <f t="shared" si="0"/>
        <v>8</v>
      </c>
      <c r="L9" s="5" t="s">
        <v>7</v>
      </c>
      <c r="M9" s="5" t="s">
        <v>54</v>
      </c>
      <c r="N9" s="5"/>
      <c r="O9" s="5" t="s">
        <v>703</v>
      </c>
      <c r="P9" s="1"/>
      <c r="Q9" s="1"/>
    </row>
    <row r="10" spans="1:18" ht="33" thickBot="1" x14ac:dyDescent="0.35">
      <c r="A10" s="2">
        <v>35</v>
      </c>
      <c r="B10" s="4">
        <v>5</v>
      </c>
      <c r="C10" s="3" t="s">
        <v>27</v>
      </c>
      <c r="D10" s="4" t="s">
        <v>10</v>
      </c>
      <c r="E10" s="4" t="s">
        <v>23</v>
      </c>
      <c r="F10" s="4" t="s">
        <v>77</v>
      </c>
      <c r="G10" s="4" t="s">
        <v>5</v>
      </c>
      <c r="H10" s="4" t="s">
        <v>5</v>
      </c>
      <c r="I10" s="4" t="s">
        <v>26</v>
      </c>
      <c r="J10" s="4"/>
      <c r="K10" s="4">
        <f t="shared" si="0"/>
        <v>9</v>
      </c>
      <c r="L10" s="5" t="s">
        <v>7</v>
      </c>
      <c r="M10" s="6" t="s">
        <v>55</v>
      </c>
      <c r="N10" s="6"/>
      <c r="O10" s="5" t="s">
        <v>703</v>
      </c>
      <c r="P10" s="1"/>
      <c r="Q10" s="1"/>
    </row>
    <row r="11" spans="1:18" ht="22.2" thickBot="1" x14ac:dyDescent="0.35">
      <c r="A11" s="2">
        <v>36</v>
      </c>
      <c r="B11" s="4">
        <v>5</v>
      </c>
      <c r="C11" s="3" t="s">
        <v>28</v>
      </c>
      <c r="D11" s="4" t="s">
        <v>10</v>
      </c>
      <c r="E11" s="4" t="s">
        <v>23</v>
      </c>
      <c r="F11" s="4" t="s">
        <v>11</v>
      </c>
      <c r="G11" s="4" t="s">
        <v>5</v>
      </c>
      <c r="H11" s="4" t="s">
        <v>5</v>
      </c>
      <c r="I11" s="4" t="s">
        <v>26</v>
      </c>
      <c r="J11" s="4"/>
      <c r="K11" s="4">
        <f t="shared" si="0"/>
        <v>10</v>
      </c>
      <c r="L11" s="5" t="s">
        <v>7</v>
      </c>
      <c r="M11" s="5" t="s">
        <v>56</v>
      </c>
      <c r="N11" s="5"/>
      <c r="O11" s="5" t="s">
        <v>160</v>
      </c>
      <c r="P11" s="1"/>
      <c r="Q11" s="1"/>
    </row>
    <row r="12" spans="1:18" ht="87" thickBot="1" x14ac:dyDescent="0.35">
      <c r="A12" s="2">
        <v>37</v>
      </c>
      <c r="B12" s="4">
        <v>5</v>
      </c>
      <c r="C12" s="3" t="s">
        <v>29</v>
      </c>
      <c r="D12" s="4" t="s">
        <v>10</v>
      </c>
      <c r="E12" s="4" t="s">
        <v>23</v>
      </c>
      <c r="F12" s="4" t="s">
        <v>11</v>
      </c>
      <c r="G12" s="4" t="s">
        <v>5</v>
      </c>
      <c r="H12" s="4" t="s">
        <v>5</v>
      </c>
      <c r="I12" s="4" t="s">
        <v>509</v>
      </c>
      <c r="J12" s="4"/>
      <c r="K12" s="4">
        <f t="shared" si="0"/>
        <v>11</v>
      </c>
      <c r="L12" s="5" t="s">
        <v>516</v>
      </c>
      <c r="M12" s="5" t="s">
        <v>57</v>
      </c>
      <c r="N12" s="5"/>
      <c r="O12" s="5" t="s">
        <v>160</v>
      </c>
      <c r="P12" s="1"/>
      <c r="Q12" s="1"/>
    </row>
    <row r="13" spans="1:18" ht="43.8" thickBot="1" x14ac:dyDescent="0.35">
      <c r="A13" s="2">
        <v>38</v>
      </c>
      <c r="B13" s="4">
        <v>5</v>
      </c>
      <c r="C13" s="3" t="s">
        <v>32</v>
      </c>
      <c r="D13" s="4" t="s">
        <v>10</v>
      </c>
      <c r="E13" s="4" t="s">
        <v>30</v>
      </c>
      <c r="F13" s="4" t="s">
        <v>50</v>
      </c>
      <c r="G13" s="4" t="s">
        <v>5</v>
      </c>
      <c r="H13" s="4" t="s">
        <v>5</v>
      </c>
      <c r="I13" s="4" t="s">
        <v>31</v>
      </c>
      <c r="J13" s="4"/>
      <c r="K13" s="4">
        <f t="shared" si="0"/>
        <v>12</v>
      </c>
      <c r="L13" s="5" t="s">
        <v>7</v>
      </c>
      <c r="M13" s="5" t="s">
        <v>531</v>
      </c>
      <c r="N13" s="5"/>
      <c r="O13" s="5" t="s">
        <v>160</v>
      </c>
      <c r="P13" s="1"/>
      <c r="Q13" s="1"/>
    </row>
    <row r="14" spans="1:18" ht="22.2" thickBot="1" x14ac:dyDescent="0.35">
      <c r="A14" s="2">
        <v>42</v>
      </c>
      <c r="B14" s="4">
        <v>5</v>
      </c>
      <c r="C14" s="3" t="s">
        <v>60</v>
      </c>
      <c r="D14" s="4" t="s">
        <v>10</v>
      </c>
      <c r="E14" s="4" t="s">
        <v>30</v>
      </c>
      <c r="F14" s="4" t="s">
        <v>81</v>
      </c>
      <c r="G14" s="4" t="s">
        <v>5</v>
      </c>
      <c r="H14" s="4" t="s">
        <v>5</v>
      </c>
      <c r="I14" s="4" t="s">
        <v>31</v>
      </c>
      <c r="J14" s="4"/>
      <c r="K14" s="4">
        <f>K13+1</f>
        <v>13</v>
      </c>
      <c r="L14" s="5" t="s">
        <v>7</v>
      </c>
      <c r="M14" s="5" t="s">
        <v>59</v>
      </c>
      <c r="N14" s="5"/>
      <c r="O14" s="5" t="s">
        <v>703</v>
      </c>
      <c r="P14" s="1"/>
      <c r="Q14" s="1"/>
    </row>
    <row r="15" spans="1:18" ht="22.2" thickBot="1" x14ac:dyDescent="0.35">
      <c r="A15" s="2">
        <v>43</v>
      </c>
      <c r="B15" s="4">
        <v>5</v>
      </c>
      <c r="C15" s="3" t="s">
        <v>61</v>
      </c>
      <c r="D15" s="4" t="s">
        <v>10</v>
      </c>
      <c r="E15" s="4" t="s">
        <v>30</v>
      </c>
      <c r="F15" s="4" t="s">
        <v>77</v>
      </c>
      <c r="G15" s="4" t="s">
        <v>5</v>
      </c>
      <c r="H15" s="4" t="s">
        <v>5</v>
      </c>
      <c r="I15" s="4" t="s">
        <v>31</v>
      </c>
      <c r="J15" s="4"/>
      <c r="K15" s="4">
        <f t="shared" si="0"/>
        <v>14</v>
      </c>
      <c r="L15" s="5" t="s">
        <v>7</v>
      </c>
      <c r="M15" s="5" t="s">
        <v>58</v>
      </c>
      <c r="N15" s="5"/>
      <c r="O15" s="5" t="s">
        <v>703</v>
      </c>
      <c r="P15" s="1"/>
      <c r="Q15" s="1"/>
    </row>
    <row r="16" spans="1:18" ht="22.2" thickBot="1" x14ac:dyDescent="0.35">
      <c r="A16" s="2">
        <v>44</v>
      </c>
      <c r="B16" s="4">
        <v>5</v>
      </c>
      <c r="C16" s="3" t="s">
        <v>62</v>
      </c>
      <c r="D16" s="4" t="s">
        <v>10</v>
      </c>
      <c r="E16" s="4" t="s">
        <v>33</v>
      </c>
      <c r="F16" s="4" t="s">
        <v>79</v>
      </c>
      <c r="G16" s="4" t="s">
        <v>5</v>
      </c>
      <c r="H16" s="4" t="s">
        <v>5</v>
      </c>
      <c r="I16" s="4" t="s">
        <v>34</v>
      </c>
      <c r="J16" s="4"/>
      <c r="K16" s="4">
        <f t="shared" si="0"/>
        <v>15</v>
      </c>
      <c r="L16" s="5" t="s">
        <v>7</v>
      </c>
      <c r="M16" s="5" t="s">
        <v>66</v>
      </c>
      <c r="N16" s="5"/>
      <c r="O16" s="5" t="s">
        <v>160</v>
      </c>
      <c r="P16" s="1"/>
      <c r="Q16" s="1"/>
    </row>
    <row r="17" spans="1:18" ht="22.2" thickBot="1" x14ac:dyDescent="0.35">
      <c r="A17" s="2">
        <v>45</v>
      </c>
      <c r="B17" s="4">
        <v>5</v>
      </c>
      <c r="C17" s="3" t="s">
        <v>62</v>
      </c>
      <c r="D17" s="4" t="s">
        <v>10</v>
      </c>
      <c r="E17" s="4" t="s">
        <v>33</v>
      </c>
      <c r="F17" s="4" t="s">
        <v>78</v>
      </c>
      <c r="G17" s="4" t="s">
        <v>5</v>
      </c>
      <c r="H17" s="4" t="s">
        <v>5</v>
      </c>
      <c r="I17" s="4" t="s">
        <v>34</v>
      </c>
      <c r="J17" s="4"/>
      <c r="K17" s="4">
        <f t="shared" si="0"/>
        <v>16</v>
      </c>
      <c r="L17" s="5" t="s">
        <v>7</v>
      </c>
      <c r="M17" s="5" t="s">
        <v>65</v>
      </c>
      <c r="N17" s="5"/>
      <c r="O17" s="5" t="s">
        <v>160</v>
      </c>
      <c r="P17" s="1"/>
      <c r="Q17" s="1"/>
    </row>
    <row r="18" spans="1:18" ht="22.2" thickBot="1" x14ac:dyDescent="0.35">
      <c r="A18" s="2">
        <v>46</v>
      </c>
      <c r="B18" s="4">
        <v>5</v>
      </c>
      <c r="C18" s="3" t="s">
        <v>63</v>
      </c>
      <c r="D18" s="4" t="s">
        <v>10</v>
      </c>
      <c r="E18" s="4" t="s">
        <v>33</v>
      </c>
      <c r="F18" s="4" t="s">
        <v>79</v>
      </c>
      <c r="G18" s="4" t="s">
        <v>5</v>
      </c>
      <c r="H18" s="4" t="s">
        <v>5</v>
      </c>
      <c r="I18" s="4" t="s">
        <v>35</v>
      </c>
      <c r="J18" s="4"/>
      <c r="K18" s="4">
        <f t="shared" si="0"/>
        <v>17</v>
      </c>
      <c r="L18" s="5" t="s">
        <v>7</v>
      </c>
      <c r="M18" s="5" t="s">
        <v>48</v>
      </c>
      <c r="N18" s="5"/>
      <c r="O18" s="5" t="s">
        <v>160</v>
      </c>
      <c r="P18" s="1"/>
      <c r="Q18" s="1"/>
    </row>
    <row r="19" spans="1:18" ht="130.80000000000001" thickBot="1" x14ac:dyDescent="0.35">
      <c r="A19" s="2">
        <v>47</v>
      </c>
      <c r="B19" s="4">
        <v>5</v>
      </c>
      <c r="C19" s="3" t="s">
        <v>64</v>
      </c>
      <c r="D19" s="4" t="s">
        <v>10</v>
      </c>
      <c r="E19" s="4" t="s">
        <v>4</v>
      </c>
      <c r="F19" s="4" t="s">
        <v>37</v>
      </c>
      <c r="G19" s="4" t="s">
        <v>5</v>
      </c>
      <c r="H19" s="4" t="s">
        <v>5</v>
      </c>
      <c r="I19" s="4" t="s">
        <v>36</v>
      </c>
      <c r="J19" s="4"/>
      <c r="K19" s="4">
        <f t="shared" si="0"/>
        <v>18</v>
      </c>
      <c r="L19" s="1" t="s">
        <v>631</v>
      </c>
      <c r="M19" s="1"/>
      <c r="N19" s="11"/>
      <c r="O19" s="11" t="s">
        <v>160</v>
      </c>
      <c r="P19" s="120"/>
      <c r="Q19" s="1"/>
    </row>
    <row r="20" spans="1:18" ht="303.60000000000002" thickBot="1" x14ac:dyDescent="0.35">
      <c r="A20" s="2">
        <v>50</v>
      </c>
      <c r="B20" s="4">
        <v>5</v>
      </c>
      <c r="C20" s="3" t="s">
        <v>67</v>
      </c>
      <c r="D20" s="4" t="s">
        <v>10</v>
      </c>
      <c r="E20" s="4" t="s">
        <v>4</v>
      </c>
      <c r="F20" s="4" t="s">
        <v>37</v>
      </c>
      <c r="G20" s="4" t="s">
        <v>5</v>
      </c>
      <c r="H20" s="4" t="s">
        <v>8</v>
      </c>
      <c r="I20" s="4" t="s">
        <v>36</v>
      </c>
      <c r="J20" s="4"/>
      <c r="K20" s="4">
        <f>K19+1</f>
        <v>19</v>
      </c>
      <c r="L20" s="1" t="s">
        <v>986</v>
      </c>
      <c r="M20" s="1" t="s">
        <v>985</v>
      </c>
      <c r="N20" s="11" t="s">
        <v>702</v>
      </c>
      <c r="O20" s="11" t="s">
        <v>160</v>
      </c>
      <c r="P20" s="120"/>
      <c r="Q20" s="1" t="s">
        <v>573</v>
      </c>
    </row>
    <row r="21" spans="1:18" ht="141.6" thickBot="1" x14ac:dyDescent="0.35">
      <c r="A21" s="2">
        <v>123</v>
      </c>
      <c r="B21" s="4"/>
      <c r="C21" s="3" t="s">
        <v>39</v>
      </c>
      <c r="D21" s="5" t="s">
        <v>10</v>
      </c>
      <c r="E21" s="4" t="s">
        <v>4</v>
      </c>
      <c r="F21" s="4" t="s">
        <v>68</v>
      </c>
      <c r="G21" s="4" t="s">
        <v>5</v>
      </c>
      <c r="H21" s="4" t="s">
        <v>5</v>
      </c>
      <c r="I21" s="4" t="s">
        <v>40</v>
      </c>
      <c r="J21" s="4"/>
      <c r="K21" s="4">
        <f>K20+1</f>
        <v>20</v>
      </c>
      <c r="L21" s="1" t="s">
        <v>42</v>
      </c>
      <c r="M21" s="1" t="s">
        <v>6</v>
      </c>
      <c r="N21" s="1"/>
      <c r="O21" s="1" t="s">
        <v>160</v>
      </c>
      <c r="P21" s="1"/>
      <c r="Q21" s="1"/>
    </row>
    <row r="22" spans="1:18" ht="55.2" thickBot="1" x14ac:dyDescent="0.35">
      <c r="A22" s="2">
        <v>124</v>
      </c>
      <c r="B22" s="4"/>
      <c r="C22" s="3" t="s">
        <v>41</v>
      </c>
      <c r="D22" s="5" t="s">
        <v>10</v>
      </c>
      <c r="E22" s="4" t="s">
        <v>16</v>
      </c>
      <c r="F22" s="4" t="s">
        <v>70</v>
      </c>
      <c r="G22" s="4" t="s">
        <v>5</v>
      </c>
      <c r="H22" s="4" t="s">
        <v>5</v>
      </c>
      <c r="I22" s="4" t="s">
        <v>40</v>
      </c>
      <c r="J22" s="4"/>
      <c r="K22" s="4">
        <f>K21+1</f>
        <v>21</v>
      </c>
      <c r="L22" s="1" t="s">
        <v>71</v>
      </c>
      <c r="M22" s="1" t="s">
        <v>6</v>
      </c>
      <c r="N22" s="1"/>
      <c r="O22" s="1" t="s">
        <v>160</v>
      </c>
      <c r="P22" s="1"/>
      <c r="Q22" s="1"/>
    </row>
    <row r="23" spans="1:18" ht="55.2" thickBot="1" x14ac:dyDescent="0.35">
      <c r="A23" s="2" t="s">
        <v>164</v>
      </c>
      <c r="B23" s="4"/>
      <c r="C23" s="3"/>
      <c r="D23" s="5"/>
      <c r="E23" s="4"/>
      <c r="F23" s="4"/>
      <c r="G23" s="4"/>
      <c r="H23" s="4"/>
      <c r="I23" s="4" t="s">
        <v>732</v>
      </c>
      <c r="J23" s="4"/>
      <c r="K23" s="81">
        <f>K22+1</f>
        <v>22</v>
      </c>
      <c r="L23" s="1" t="s">
        <v>7</v>
      </c>
      <c r="M23" s="1" t="s">
        <v>163</v>
      </c>
      <c r="O23" s="1" t="s">
        <v>160</v>
      </c>
      <c r="P23" s="1"/>
      <c r="Q23" s="1"/>
      <c r="R23" s="1"/>
    </row>
    <row r="24" spans="1:18" ht="44.4" thickBot="1" x14ac:dyDescent="0.35">
      <c r="A24" s="2">
        <v>25</v>
      </c>
      <c r="B24" s="4"/>
      <c r="C24" s="3" t="s">
        <v>53</v>
      </c>
      <c r="D24" s="5" t="s">
        <v>10</v>
      </c>
      <c r="E24" s="4" t="s">
        <v>38</v>
      </c>
      <c r="F24" s="4" t="s">
        <v>52</v>
      </c>
      <c r="G24" s="4" t="s">
        <v>5</v>
      </c>
      <c r="H24" s="4" t="s">
        <v>5</v>
      </c>
      <c r="I24" s="4" t="s">
        <v>9</v>
      </c>
      <c r="J24" s="4"/>
      <c r="K24" s="4">
        <v>23</v>
      </c>
      <c r="L24" s="1" t="s">
        <v>7</v>
      </c>
      <c r="M24" s="1" t="s">
        <v>51</v>
      </c>
      <c r="N24" s="1"/>
      <c r="O24" s="1" t="s">
        <v>160</v>
      </c>
      <c r="P24" s="1"/>
      <c r="Q24" s="1"/>
    </row>
  </sheetData>
  <phoneticPr fontId="6" type="noConversion"/>
  <dataValidations count="3">
    <dataValidation type="list" allowBlank="1" showInputMessage="1" showErrorMessage="1" sqref="J2:J24" xr:uid="{194BA018-0929-4274-94AB-D58BD071A726}">
      <formula1>"Y,N"</formula1>
    </dataValidation>
    <dataValidation type="list" allowBlank="1" showInputMessage="1" showErrorMessage="1" sqref="O2:O24" xr:uid="{6E5AABEB-B963-4C41-BC2F-AEC57C490E0F}">
      <formula1>"Yes, No"</formula1>
    </dataValidation>
    <dataValidation type="list" allowBlank="1" showInputMessage="1" showErrorMessage="1" sqref="E2:F24" xr:uid="{CB4C2CA5-2838-43AE-BCF7-700D2ACBD850}">
      <formula1>#REF!</formula1>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2F28FA-9F02-4B5E-9C04-A086C7F63649}">
  <dimension ref="A1:G13"/>
  <sheetViews>
    <sheetView workbookViewId="0">
      <selection activeCell="C11" sqref="C11"/>
    </sheetView>
  </sheetViews>
  <sheetFormatPr defaultRowHeight="14.4" x14ac:dyDescent="0.3"/>
  <cols>
    <col min="1" max="1" width="6.88671875" customWidth="1"/>
    <col min="2" max="2" width="10" customWidth="1"/>
    <col min="3" max="3" width="86.109375" style="15" customWidth="1"/>
    <col min="4" max="4" width="15.33203125" style="15" customWidth="1"/>
    <col min="5" max="5" width="46.88671875" style="15" customWidth="1"/>
    <col min="6" max="6" width="26.88671875" customWidth="1"/>
    <col min="7" max="7" width="17.6640625" customWidth="1"/>
  </cols>
  <sheetData>
    <row r="1" spans="1:7" ht="21.6" x14ac:dyDescent="0.3">
      <c r="A1" s="124" t="s">
        <v>793</v>
      </c>
      <c r="B1" s="124" t="s">
        <v>794</v>
      </c>
      <c r="C1" s="124" t="s">
        <v>797</v>
      </c>
      <c r="D1" s="124" t="s">
        <v>796</v>
      </c>
      <c r="E1" s="124" t="s">
        <v>168</v>
      </c>
      <c r="F1" s="125" t="s">
        <v>824</v>
      </c>
      <c r="G1" s="125" t="s">
        <v>166</v>
      </c>
    </row>
    <row r="2" spans="1:7" ht="273.60000000000002" x14ac:dyDescent="0.3">
      <c r="A2">
        <v>1</v>
      </c>
      <c r="B2" t="str">
        <f>B11</f>
        <v>Section 3</v>
      </c>
      <c r="C2" s="15" t="s">
        <v>830</v>
      </c>
      <c r="D2" s="15" t="s">
        <v>835</v>
      </c>
      <c r="G2" s="15" t="s">
        <v>831</v>
      </c>
    </row>
    <row r="3" spans="1:7" ht="43.2" x14ac:dyDescent="0.3">
      <c r="A3">
        <f>A2+1</f>
        <v>2</v>
      </c>
      <c r="B3" t="str">
        <f t="shared" ref="B3:B4" si="0">B2</f>
        <v>Section 3</v>
      </c>
      <c r="C3" s="15" t="s">
        <v>828</v>
      </c>
      <c r="D3" s="15" t="s">
        <v>836</v>
      </c>
    </row>
    <row r="4" spans="1:7" ht="43.2" x14ac:dyDescent="0.3">
      <c r="A4">
        <f>A3+1</f>
        <v>3</v>
      </c>
      <c r="B4" t="str">
        <f t="shared" si="0"/>
        <v>Section 3</v>
      </c>
      <c r="C4" s="15" t="s">
        <v>829</v>
      </c>
      <c r="D4" s="15" t="s">
        <v>837</v>
      </c>
    </row>
    <row r="5" spans="1:7" ht="43.2" x14ac:dyDescent="0.3">
      <c r="A5">
        <f>A4+1</f>
        <v>4</v>
      </c>
      <c r="B5" t="s">
        <v>795</v>
      </c>
      <c r="C5" s="15" t="s">
        <v>832</v>
      </c>
      <c r="D5" s="15" t="s">
        <v>838</v>
      </c>
      <c r="E5" s="15" t="s">
        <v>834</v>
      </c>
    </row>
    <row r="6" spans="1:7" ht="43.2" x14ac:dyDescent="0.3">
      <c r="A6">
        <f>A5+1</f>
        <v>5</v>
      </c>
      <c r="B6" t="s">
        <v>795</v>
      </c>
      <c r="C6" s="15" t="s">
        <v>833</v>
      </c>
      <c r="D6" s="15" t="s">
        <v>839</v>
      </c>
      <c r="E6" s="15" t="s">
        <v>834</v>
      </c>
    </row>
    <row r="7" spans="1:7" ht="57.6" x14ac:dyDescent="0.3">
      <c r="A7">
        <f t="shared" ref="A7:A12" si="1">A6+1</f>
        <v>6</v>
      </c>
      <c r="B7" t="s">
        <v>795</v>
      </c>
      <c r="C7" s="15" t="s">
        <v>822</v>
      </c>
      <c r="D7" s="15" t="s">
        <v>820</v>
      </c>
      <c r="E7" s="15" t="s">
        <v>826</v>
      </c>
      <c r="F7" s="15" t="s">
        <v>825</v>
      </c>
    </row>
    <row r="8" spans="1:7" ht="87.6" customHeight="1" x14ac:dyDescent="0.3">
      <c r="A8">
        <f t="shared" si="1"/>
        <v>7</v>
      </c>
      <c r="C8" s="15" t="s">
        <v>823</v>
      </c>
      <c r="D8" s="15" t="s">
        <v>821</v>
      </c>
      <c r="E8" s="15" t="s">
        <v>827</v>
      </c>
    </row>
    <row r="9" spans="1:7" ht="43.2" x14ac:dyDescent="0.3">
      <c r="A9">
        <f t="shared" si="1"/>
        <v>8</v>
      </c>
      <c r="B9" t="s">
        <v>795</v>
      </c>
      <c r="C9" s="15" t="s">
        <v>158</v>
      </c>
      <c r="D9" s="15" t="s">
        <v>840</v>
      </c>
      <c r="E9" s="15" t="s">
        <v>800</v>
      </c>
    </row>
    <row r="10" spans="1:7" ht="43.2" x14ac:dyDescent="0.3">
      <c r="A10">
        <f t="shared" si="1"/>
        <v>9</v>
      </c>
      <c r="B10" t="str">
        <f>B9</f>
        <v>Section 3</v>
      </c>
      <c r="C10" s="15" t="s">
        <v>798</v>
      </c>
      <c r="D10" s="15" t="s">
        <v>841</v>
      </c>
      <c r="E10" s="15" t="s">
        <v>799</v>
      </c>
    </row>
    <row r="11" spans="1:7" ht="43.2" x14ac:dyDescent="0.3">
      <c r="A11">
        <f t="shared" si="1"/>
        <v>10</v>
      </c>
      <c r="B11" t="str">
        <f>B10</f>
        <v>Section 3</v>
      </c>
      <c r="C11" s="15" t="s">
        <v>845</v>
      </c>
      <c r="D11" s="15" t="s">
        <v>842</v>
      </c>
      <c r="E11" s="15" t="s">
        <v>801</v>
      </c>
    </row>
    <row r="12" spans="1:7" ht="43.2" x14ac:dyDescent="0.3">
      <c r="A12">
        <f t="shared" si="1"/>
        <v>11</v>
      </c>
      <c r="B12" t="s">
        <v>795</v>
      </c>
      <c r="C12" s="15" t="s">
        <v>819</v>
      </c>
      <c r="D12" s="15" t="s">
        <v>843</v>
      </c>
      <c r="E12" s="15" t="s">
        <v>817</v>
      </c>
    </row>
    <row r="13" spans="1:7" ht="61.2" customHeight="1" x14ac:dyDescent="0.3">
      <c r="A13">
        <f t="shared" ref="A13" si="2">A12+1</f>
        <v>12</v>
      </c>
      <c r="B13" t="s">
        <v>795</v>
      </c>
      <c r="C13" s="15" t="s">
        <v>816</v>
      </c>
      <c r="D13" s="15" t="s">
        <v>844</v>
      </c>
      <c r="E13" s="15" t="s">
        <v>818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F722B-C3A9-4C4A-91B8-4FB659297743}">
  <dimension ref="A1:L54"/>
  <sheetViews>
    <sheetView topLeftCell="A31" zoomScale="68" zoomScaleNormal="68" workbookViewId="0">
      <selection activeCell="B38" sqref="B38"/>
    </sheetView>
  </sheetViews>
  <sheetFormatPr defaultRowHeight="14.4" x14ac:dyDescent="0.3"/>
  <cols>
    <col min="1" max="1" width="20.88671875" style="15" customWidth="1"/>
    <col min="2" max="2" width="30.109375" style="15" customWidth="1"/>
    <col min="3" max="3" width="21.5546875" style="15" hidden="1" customWidth="1"/>
    <col min="4" max="4" width="35.88671875" style="15" customWidth="1"/>
    <col min="5" max="6" width="8.88671875" style="15"/>
    <col min="7" max="7" width="17.44140625" style="15" customWidth="1"/>
    <col min="8" max="8" width="8.88671875" style="15"/>
    <col min="9" max="10" width="12.6640625" style="15" customWidth="1"/>
    <col min="11" max="11" width="41.109375" style="39" customWidth="1"/>
    <col min="12" max="16384" width="8.88671875" style="15"/>
  </cols>
  <sheetData>
    <row r="1" spans="1:12" s="93" customFormat="1" ht="52.8" x14ac:dyDescent="0.3">
      <c r="A1" s="94" t="s">
        <v>143</v>
      </c>
      <c r="B1" s="95" t="s">
        <v>98</v>
      </c>
      <c r="C1" s="95" t="s">
        <v>125</v>
      </c>
      <c r="D1" s="95" t="s">
        <v>126</v>
      </c>
      <c r="E1" s="95" t="s">
        <v>127</v>
      </c>
      <c r="F1" s="95" t="s">
        <v>128</v>
      </c>
      <c r="G1" s="95" t="s">
        <v>129</v>
      </c>
      <c r="H1" s="95" t="s">
        <v>133</v>
      </c>
      <c r="I1" s="95" t="s">
        <v>730</v>
      </c>
      <c r="J1" s="95" t="s">
        <v>731</v>
      </c>
      <c r="K1" s="95" t="s">
        <v>166</v>
      </c>
      <c r="L1" s="94" t="s">
        <v>698</v>
      </c>
    </row>
    <row r="2" spans="1:12" hidden="1" x14ac:dyDescent="0.3">
      <c r="A2" s="13"/>
      <c r="B2" s="96"/>
      <c r="C2" s="96"/>
      <c r="D2" s="97"/>
      <c r="E2" s="97"/>
      <c r="F2" s="97"/>
      <c r="G2" s="96"/>
      <c r="H2" s="13"/>
      <c r="I2" s="13"/>
      <c r="J2" s="13"/>
      <c r="K2" s="98"/>
      <c r="L2" s="13"/>
    </row>
    <row r="3" spans="1:12" s="106" customFormat="1" x14ac:dyDescent="0.3">
      <c r="A3" s="103" t="s">
        <v>706</v>
      </c>
      <c r="C3" s="104"/>
      <c r="D3" s="104" t="s">
        <v>700</v>
      </c>
      <c r="E3" s="105"/>
      <c r="F3" s="105"/>
      <c r="G3" s="104"/>
      <c r="H3" s="103"/>
      <c r="I3" s="103" t="s">
        <v>703</v>
      </c>
      <c r="J3" s="103" t="s">
        <v>703</v>
      </c>
      <c r="K3" s="104"/>
      <c r="L3" s="103"/>
    </row>
    <row r="4" spans="1:12" x14ac:dyDescent="0.3">
      <c r="A4" s="13" t="s">
        <v>161</v>
      </c>
      <c r="B4" s="98" t="s">
        <v>699</v>
      </c>
      <c r="C4" s="98"/>
      <c r="D4" s="99"/>
      <c r="E4" s="99"/>
      <c r="F4" s="99"/>
      <c r="G4" s="98"/>
      <c r="H4" s="13"/>
      <c r="I4" s="13"/>
      <c r="J4" s="13"/>
      <c r="K4" s="98"/>
      <c r="L4" s="13"/>
    </row>
    <row r="5" spans="1:12" x14ac:dyDescent="0.3">
      <c r="B5" s="13" t="s">
        <v>716</v>
      </c>
      <c r="C5" s="98"/>
      <c r="D5" s="99" t="s">
        <v>728</v>
      </c>
      <c r="E5" s="99" t="s">
        <v>346</v>
      </c>
      <c r="F5" s="99" t="s">
        <v>729</v>
      </c>
      <c r="G5" s="98"/>
      <c r="H5" s="13"/>
      <c r="I5" s="13"/>
      <c r="J5" s="13" t="s">
        <v>703</v>
      </c>
      <c r="K5" s="98"/>
      <c r="L5" s="13"/>
    </row>
    <row r="6" spans="1:12" x14ac:dyDescent="0.3">
      <c r="B6" s="13" t="s">
        <v>717</v>
      </c>
      <c r="C6" s="98"/>
      <c r="D6" s="99" t="s">
        <v>728</v>
      </c>
      <c r="E6" s="99"/>
      <c r="F6" s="99"/>
      <c r="G6" s="98"/>
      <c r="H6" s="13"/>
      <c r="I6" s="13"/>
      <c r="J6" s="13" t="s">
        <v>703</v>
      </c>
      <c r="K6" s="98"/>
      <c r="L6" s="13"/>
    </row>
    <row r="7" spans="1:12" x14ac:dyDescent="0.3">
      <c r="B7" s="13" t="s">
        <v>718</v>
      </c>
      <c r="C7" s="98"/>
      <c r="D7" s="99" t="s">
        <v>728</v>
      </c>
      <c r="E7" s="99"/>
      <c r="F7" s="99"/>
      <c r="G7" s="98"/>
      <c r="H7" s="13"/>
      <c r="I7" s="13"/>
      <c r="J7" s="13" t="s">
        <v>703</v>
      </c>
      <c r="K7" s="98"/>
      <c r="L7" s="13"/>
    </row>
    <row r="8" spans="1:12" x14ac:dyDescent="0.3">
      <c r="B8" s="13" t="s">
        <v>719</v>
      </c>
      <c r="C8" s="98"/>
      <c r="D8" s="99" t="s">
        <v>728</v>
      </c>
      <c r="E8" s="99"/>
      <c r="F8" s="99"/>
      <c r="G8" s="98"/>
      <c r="H8" s="13"/>
      <c r="I8" s="13"/>
      <c r="J8" s="13" t="s">
        <v>703</v>
      </c>
      <c r="K8" s="98"/>
      <c r="L8" s="13"/>
    </row>
    <row r="9" spans="1:12" x14ac:dyDescent="0.3">
      <c r="B9" s="13" t="s">
        <v>720</v>
      </c>
      <c r="C9" s="98"/>
      <c r="D9" s="99" t="s">
        <v>728</v>
      </c>
      <c r="E9" s="99"/>
      <c r="F9" s="99"/>
      <c r="G9" s="98"/>
      <c r="H9" s="13"/>
      <c r="I9" s="13"/>
      <c r="J9" s="13" t="s">
        <v>703</v>
      </c>
      <c r="K9" s="98"/>
      <c r="L9" s="13"/>
    </row>
    <row r="10" spans="1:12" x14ac:dyDescent="0.3">
      <c r="B10" s="13" t="s">
        <v>721</v>
      </c>
      <c r="C10" s="98"/>
      <c r="D10" s="99" t="s">
        <v>728</v>
      </c>
      <c r="E10" s="99"/>
      <c r="F10" s="99"/>
      <c r="G10" s="98"/>
      <c r="H10" s="13"/>
      <c r="I10" s="13"/>
      <c r="J10" s="13" t="s">
        <v>703</v>
      </c>
      <c r="K10" s="98"/>
      <c r="L10" s="13"/>
    </row>
    <row r="11" spans="1:12" x14ac:dyDescent="0.3">
      <c r="B11" s="13" t="s">
        <v>722</v>
      </c>
      <c r="C11" s="98"/>
      <c r="D11" s="99" t="s">
        <v>728</v>
      </c>
      <c r="E11" s="99"/>
      <c r="F11" s="99"/>
      <c r="G11" s="98"/>
      <c r="H11" s="13"/>
      <c r="I11" s="13"/>
      <c r="J11" s="13" t="s">
        <v>703</v>
      </c>
      <c r="K11" s="98"/>
      <c r="L11" s="13"/>
    </row>
    <row r="12" spans="1:12" x14ac:dyDescent="0.3">
      <c r="B12" s="13" t="s">
        <v>723</v>
      </c>
      <c r="C12" s="98"/>
      <c r="D12" s="99" t="s">
        <v>728</v>
      </c>
      <c r="E12" s="99"/>
      <c r="F12" s="99"/>
      <c r="G12" s="98"/>
      <c r="H12" s="13"/>
      <c r="I12" s="13"/>
      <c r="J12" s="13" t="s">
        <v>703</v>
      </c>
      <c r="K12" s="98"/>
      <c r="L12" s="13"/>
    </row>
    <row r="13" spans="1:12" x14ac:dyDescent="0.3">
      <c r="B13" s="13" t="s">
        <v>724</v>
      </c>
      <c r="C13" s="98"/>
      <c r="D13" s="99" t="s">
        <v>728</v>
      </c>
      <c r="E13" s="99"/>
      <c r="F13" s="99"/>
      <c r="G13" s="98"/>
      <c r="H13" s="13"/>
      <c r="I13" s="13"/>
      <c r="J13" s="13" t="s">
        <v>703</v>
      </c>
      <c r="K13" s="98"/>
      <c r="L13" s="13"/>
    </row>
    <row r="14" spans="1:12" x14ac:dyDescent="0.3">
      <c r="B14" s="13" t="s">
        <v>725</v>
      </c>
      <c r="C14" s="98"/>
      <c r="D14" s="99" t="s">
        <v>728</v>
      </c>
      <c r="E14" s="99"/>
      <c r="F14" s="99"/>
      <c r="G14" s="98"/>
      <c r="H14" s="13"/>
      <c r="I14" s="13"/>
      <c r="J14" s="13" t="s">
        <v>703</v>
      </c>
      <c r="K14" s="98"/>
      <c r="L14" s="13"/>
    </row>
    <row r="15" spans="1:12" x14ac:dyDescent="0.3">
      <c r="B15" s="13" t="s">
        <v>726</v>
      </c>
      <c r="C15" s="98"/>
      <c r="D15" s="99" t="s">
        <v>728</v>
      </c>
      <c r="E15" s="99"/>
      <c r="F15" s="99"/>
      <c r="G15" s="98"/>
      <c r="H15" s="13"/>
      <c r="I15" s="13"/>
      <c r="J15" s="13" t="s">
        <v>703</v>
      </c>
      <c r="K15" s="98"/>
      <c r="L15" s="13"/>
    </row>
    <row r="16" spans="1:12" x14ac:dyDescent="0.3">
      <c r="B16" s="13" t="s">
        <v>727</v>
      </c>
      <c r="C16" s="98"/>
      <c r="D16" s="99" t="s">
        <v>728</v>
      </c>
      <c r="E16" s="99"/>
      <c r="F16" s="99"/>
      <c r="G16" s="98"/>
      <c r="H16" s="13"/>
      <c r="I16" s="13"/>
      <c r="J16" s="13" t="s">
        <v>703</v>
      </c>
      <c r="K16" s="98"/>
      <c r="L16" s="13"/>
    </row>
    <row r="17" spans="1:12" s="106" customFormat="1" ht="30" customHeight="1" x14ac:dyDescent="0.3">
      <c r="A17" s="103" t="s">
        <v>707</v>
      </c>
      <c r="C17" s="104"/>
      <c r="D17" s="107" t="s">
        <v>701</v>
      </c>
      <c r="E17" s="105"/>
      <c r="F17" s="105"/>
      <c r="G17" s="104"/>
      <c r="H17" s="103"/>
      <c r="I17" s="103" t="s">
        <v>703</v>
      </c>
      <c r="J17" s="103" t="s">
        <v>703</v>
      </c>
      <c r="K17" s="104"/>
      <c r="L17" s="103"/>
    </row>
    <row r="18" spans="1:12" s="39" customFormat="1" x14ac:dyDescent="0.3">
      <c r="A18" s="100" t="s">
        <v>4</v>
      </c>
      <c r="B18" s="98" t="s">
        <v>146</v>
      </c>
      <c r="C18" s="98"/>
      <c r="D18" s="99"/>
      <c r="E18" s="99"/>
      <c r="F18" s="99"/>
      <c r="G18" s="98"/>
      <c r="H18" s="100"/>
      <c r="I18" s="13" t="s">
        <v>703</v>
      </c>
      <c r="J18" s="13" t="s">
        <v>703</v>
      </c>
      <c r="K18" s="98"/>
      <c r="L18" s="100"/>
    </row>
    <row r="19" spans="1:12" s="39" customFormat="1" ht="82.8" x14ac:dyDescent="0.3">
      <c r="A19" s="136" t="s">
        <v>4</v>
      </c>
      <c r="B19" s="137" t="s">
        <v>398</v>
      </c>
      <c r="C19" s="98"/>
      <c r="D19" s="99" t="s">
        <v>399</v>
      </c>
      <c r="E19" s="99" t="s">
        <v>121</v>
      </c>
      <c r="F19" s="99" t="s">
        <v>176</v>
      </c>
      <c r="G19" s="98" t="s">
        <v>400</v>
      </c>
      <c r="H19" s="100"/>
      <c r="I19" s="13" t="s">
        <v>703</v>
      </c>
      <c r="J19" s="13" t="s">
        <v>703</v>
      </c>
      <c r="K19" s="98"/>
      <c r="L19" s="100"/>
    </row>
    <row r="20" spans="1:12" s="91" customFormat="1" ht="41.4" x14ac:dyDescent="0.3">
      <c r="A20" s="101" t="s">
        <v>4</v>
      </c>
      <c r="B20" s="101" t="s">
        <v>165</v>
      </c>
      <c r="C20" s="101"/>
      <c r="D20" s="101" t="s">
        <v>130</v>
      </c>
      <c r="E20" s="101" t="s">
        <v>121</v>
      </c>
      <c r="F20" s="101" t="s">
        <v>389</v>
      </c>
      <c r="G20" s="101"/>
      <c r="H20" s="101"/>
      <c r="I20" s="13" t="s">
        <v>703</v>
      </c>
      <c r="J20" s="13" t="s">
        <v>703</v>
      </c>
      <c r="K20" s="99" t="s">
        <v>175</v>
      </c>
      <c r="L20" s="101"/>
    </row>
    <row r="21" spans="1:12" s="39" customFormat="1" x14ac:dyDescent="0.3">
      <c r="A21" s="136" t="s">
        <v>4</v>
      </c>
      <c r="B21" s="136" t="s">
        <v>184</v>
      </c>
      <c r="C21" s="100"/>
      <c r="D21" s="100"/>
      <c r="E21" s="100"/>
      <c r="F21" s="100" t="s">
        <v>388</v>
      </c>
      <c r="G21" s="100"/>
      <c r="H21" s="100"/>
      <c r="I21" s="13" t="s">
        <v>703</v>
      </c>
      <c r="J21" s="13" t="s">
        <v>703</v>
      </c>
      <c r="K21" s="100"/>
      <c r="L21" s="100"/>
    </row>
    <row r="22" spans="1:12" s="39" customFormat="1" ht="43.2" x14ac:dyDescent="0.3">
      <c r="A22" s="136" t="s">
        <v>4</v>
      </c>
      <c r="B22" s="136" t="s">
        <v>390</v>
      </c>
      <c r="C22" s="100"/>
      <c r="D22" s="100" t="s">
        <v>391</v>
      </c>
      <c r="E22" s="100"/>
      <c r="F22" s="100" t="s">
        <v>141</v>
      </c>
      <c r="G22" s="100" t="s">
        <v>387</v>
      </c>
      <c r="H22" s="100"/>
      <c r="I22" s="13" t="s">
        <v>703</v>
      </c>
      <c r="J22" s="13" t="s">
        <v>703</v>
      </c>
      <c r="K22" s="100"/>
      <c r="L22" s="100"/>
    </row>
    <row r="23" spans="1:12" s="106" customFormat="1" x14ac:dyDescent="0.3">
      <c r="A23" s="103" t="s">
        <v>181</v>
      </c>
      <c r="B23" s="103"/>
      <c r="C23" s="103"/>
      <c r="D23" s="103" t="s">
        <v>704</v>
      </c>
      <c r="E23" s="103"/>
      <c r="F23" s="103"/>
      <c r="G23" s="103"/>
      <c r="H23" s="103"/>
      <c r="I23" s="103"/>
      <c r="J23" s="103"/>
      <c r="K23" s="103"/>
      <c r="L23" s="103"/>
    </row>
    <row r="24" spans="1:12" x14ac:dyDescent="0.3">
      <c r="A24" s="13" t="s">
        <v>181</v>
      </c>
      <c r="B24" s="13" t="s">
        <v>179</v>
      </c>
      <c r="C24" s="13"/>
      <c r="D24" s="13"/>
      <c r="E24" s="135" t="s">
        <v>964</v>
      </c>
      <c r="F24" s="13" t="s">
        <v>131</v>
      </c>
      <c r="G24" s="13"/>
      <c r="H24" s="13" t="s">
        <v>140</v>
      </c>
      <c r="I24" s="13" t="s">
        <v>703</v>
      </c>
      <c r="J24" s="13" t="s">
        <v>160</v>
      </c>
      <c r="K24" s="100"/>
      <c r="L24" s="13"/>
    </row>
    <row r="25" spans="1:12" x14ac:dyDescent="0.3">
      <c r="A25" s="13" t="s">
        <v>181</v>
      </c>
      <c r="B25" s="13" t="s">
        <v>180</v>
      </c>
      <c r="C25" s="13"/>
      <c r="D25" s="13"/>
      <c r="E25" s="135" t="s">
        <v>964</v>
      </c>
      <c r="F25" s="13" t="s">
        <v>131</v>
      </c>
      <c r="G25" s="13"/>
      <c r="H25" s="13" t="s">
        <v>140</v>
      </c>
      <c r="I25" s="13" t="s">
        <v>703</v>
      </c>
      <c r="J25" s="13" t="s">
        <v>160</v>
      </c>
      <c r="K25" s="100"/>
      <c r="L25" s="13"/>
    </row>
    <row r="26" spans="1:12" s="106" customFormat="1" x14ac:dyDescent="0.3">
      <c r="A26" s="103" t="s">
        <v>705</v>
      </c>
      <c r="B26" s="103"/>
      <c r="C26" s="103"/>
      <c r="D26" s="103"/>
      <c r="E26" s="108"/>
      <c r="F26" s="103"/>
      <c r="G26" s="103"/>
      <c r="H26" s="103"/>
      <c r="I26" s="103"/>
      <c r="J26" s="103"/>
      <c r="K26" s="103"/>
      <c r="L26" s="103"/>
    </row>
    <row r="27" spans="1:12" x14ac:dyDescent="0.3">
      <c r="A27" s="13" t="s">
        <v>177</v>
      </c>
      <c r="B27" s="13" t="s">
        <v>699</v>
      </c>
      <c r="C27" s="13"/>
      <c r="D27" s="13"/>
      <c r="E27" s="13"/>
      <c r="F27" s="13"/>
      <c r="G27" s="13"/>
      <c r="H27" s="13"/>
      <c r="I27" s="13" t="s">
        <v>703</v>
      </c>
      <c r="J27" s="13" t="s">
        <v>703</v>
      </c>
      <c r="K27" s="100"/>
      <c r="L27" s="13"/>
    </row>
    <row r="28" spans="1:12" ht="100.8" x14ac:dyDescent="0.3">
      <c r="A28" s="136" t="s">
        <v>177</v>
      </c>
      <c r="B28" s="136" t="s">
        <v>183</v>
      </c>
      <c r="C28" s="13"/>
      <c r="D28" s="13" t="s">
        <v>178</v>
      </c>
      <c r="E28" s="13" t="s">
        <v>121</v>
      </c>
      <c r="F28" s="13" t="s">
        <v>176</v>
      </c>
      <c r="G28" s="13" t="s">
        <v>448</v>
      </c>
      <c r="H28" s="13"/>
      <c r="I28" s="13" t="s">
        <v>703</v>
      </c>
      <c r="J28" s="13" t="s">
        <v>703</v>
      </c>
      <c r="K28" s="100"/>
      <c r="L28" s="13"/>
    </row>
    <row r="29" spans="1:12" ht="16.2" x14ac:dyDescent="0.3">
      <c r="A29" s="13" t="s">
        <v>177</v>
      </c>
      <c r="B29" s="13" t="s">
        <v>182</v>
      </c>
      <c r="C29" s="13"/>
      <c r="D29" s="13" t="s">
        <v>190</v>
      </c>
      <c r="E29" s="13" t="s">
        <v>189</v>
      </c>
      <c r="F29" s="13" t="s">
        <v>131</v>
      </c>
      <c r="G29" s="13"/>
      <c r="H29" s="13" t="s">
        <v>140</v>
      </c>
      <c r="I29" s="13" t="s">
        <v>703</v>
      </c>
      <c r="J29" s="13" t="s">
        <v>703</v>
      </c>
      <c r="K29" s="100"/>
      <c r="L29" s="13"/>
    </row>
    <row r="30" spans="1:12" ht="43.2" x14ac:dyDescent="0.3">
      <c r="A30" s="13" t="s">
        <v>177</v>
      </c>
      <c r="B30" s="13" t="s">
        <v>635</v>
      </c>
      <c r="C30" s="13"/>
      <c r="D30" s="13" t="s">
        <v>636</v>
      </c>
      <c r="E30" s="13"/>
      <c r="F30" s="13" t="s">
        <v>141</v>
      </c>
      <c r="G30" s="13" t="s">
        <v>637</v>
      </c>
      <c r="H30" s="13"/>
      <c r="I30" s="13" t="s">
        <v>703</v>
      </c>
      <c r="J30" s="13" t="s">
        <v>703</v>
      </c>
      <c r="K30" s="100" t="s">
        <v>638</v>
      </c>
      <c r="L30" s="13" t="s">
        <v>703</v>
      </c>
    </row>
    <row r="31" spans="1:12" ht="28.8" x14ac:dyDescent="0.3">
      <c r="A31" s="13" t="s">
        <v>177</v>
      </c>
      <c r="B31" s="13" t="s">
        <v>657</v>
      </c>
      <c r="C31" s="13"/>
      <c r="D31" s="13" t="s">
        <v>658</v>
      </c>
      <c r="E31" s="13"/>
      <c r="F31" s="13" t="s">
        <v>131</v>
      </c>
      <c r="G31" s="13"/>
      <c r="H31" s="13" t="s">
        <v>659</v>
      </c>
      <c r="I31" s="13" t="s">
        <v>703</v>
      </c>
      <c r="J31" s="13" t="s">
        <v>703</v>
      </c>
      <c r="K31" s="100"/>
      <c r="L31" s="13"/>
    </row>
    <row r="32" spans="1:12" s="106" customFormat="1" ht="28.8" x14ac:dyDescent="0.3">
      <c r="A32" s="103" t="s">
        <v>708</v>
      </c>
      <c r="B32" s="103"/>
      <c r="C32" s="103"/>
      <c r="D32" s="103" t="s">
        <v>709</v>
      </c>
      <c r="E32" s="103"/>
      <c r="F32" s="103"/>
      <c r="G32" s="103"/>
      <c r="H32" s="103"/>
      <c r="I32" s="103"/>
      <c r="J32" s="103"/>
      <c r="K32" s="103"/>
      <c r="L32" s="103"/>
    </row>
    <row r="33" spans="1:12" x14ac:dyDescent="0.3">
      <c r="A33" s="13" t="s">
        <v>145</v>
      </c>
      <c r="B33" s="13" t="s">
        <v>146</v>
      </c>
      <c r="C33" s="13"/>
      <c r="D33" s="13" t="s">
        <v>155</v>
      </c>
      <c r="E33" s="13"/>
      <c r="F33" s="13"/>
      <c r="G33" s="13"/>
      <c r="H33" s="13"/>
      <c r="I33" s="13" t="s">
        <v>703</v>
      </c>
      <c r="J33" s="13" t="s">
        <v>703</v>
      </c>
      <c r="K33" s="100"/>
      <c r="L33" s="13"/>
    </row>
    <row r="34" spans="1:12" ht="57.6" x14ac:dyDescent="0.3">
      <c r="A34" s="13" t="s">
        <v>144</v>
      </c>
      <c r="B34" s="13" t="s">
        <v>148</v>
      </c>
      <c r="C34" s="13"/>
      <c r="D34" s="13" t="s">
        <v>147</v>
      </c>
      <c r="E34" s="13" t="s">
        <v>132</v>
      </c>
      <c r="F34" s="13" t="s">
        <v>131</v>
      </c>
      <c r="G34" s="13" t="s">
        <v>103</v>
      </c>
      <c r="H34" s="102" t="s">
        <v>135</v>
      </c>
      <c r="I34" s="13" t="s">
        <v>703</v>
      </c>
      <c r="J34" s="13" t="s">
        <v>703</v>
      </c>
      <c r="K34" s="100"/>
      <c r="L34" s="13"/>
    </row>
    <row r="35" spans="1:12" ht="57.6" x14ac:dyDescent="0.3">
      <c r="A35" s="13" t="s">
        <v>144</v>
      </c>
      <c r="B35" s="13" t="s">
        <v>149</v>
      </c>
      <c r="C35" s="13"/>
      <c r="D35" s="13" t="s">
        <v>136</v>
      </c>
      <c r="E35" s="13" t="s">
        <v>132</v>
      </c>
      <c r="F35" s="13" t="s">
        <v>131</v>
      </c>
      <c r="G35" s="13"/>
      <c r="H35" s="13" t="s">
        <v>134</v>
      </c>
      <c r="I35" s="13" t="s">
        <v>703</v>
      </c>
      <c r="J35" s="13" t="s">
        <v>703</v>
      </c>
      <c r="K35" s="100"/>
      <c r="L35" s="13"/>
    </row>
    <row r="36" spans="1:12" ht="72.599999999999994" customHeight="1" x14ac:dyDescent="0.3">
      <c r="A36" s="13" t="s">
        <v>144</v>
      </c>
      <c r="B36" s="13" t="s">
        <v>150</v>
      </c>
      <c r="C36" s="13"/>
      <c r="D36" s="13" t="s">
        <v>152</v>
      </c>
      <c r="E36" s="13"/>
      <c r="F36" s="13" t="s">
        <v>141</v>
      </c>
      <c r="G36" s="13" t="s">
        <v>151</v>
      </c>
      <c r="H36" s="13"/>
      <c r="I36" s="13" t="s">
        <v>703</v>
      </c>
      <c r="J36" s="13" t="s">
        <v>703</v>
      </c>
      <c r="K36" s="100"/>
      <c r="L36" s="13"/>
    </row>
    <row r="37" spans="1:12" ht="72.599999999999994" customHeight="1" x14ac:dyDescent="0.3">
      <c r="A37" s="13" t="s">
        <v>144</v>
      </c>
      <c r="B37" s="13" t="s">
        <v>672</v>
      </c>
      <c r="C37" s="13"/>
      <c r="D37" s="13" t="s">
        <v>673</v>
      </c>
      <c r="E37" s="13"/>
      <c r="F37" s="13" t="s">
        <v>139</v>
      </c>
      <c r="G37" s="13"/>
      <c r="H37" s="13"/>
      <c r="I37" s="13" t="s">
        <v>703</v>
      </c>
      <c r="J37" s="13" t="s">
        <v>703</v>
      </c>
      <c r="K37" s="100"/>
      <c r="L37" s="13"/>
    </row>
    <row r="38" spans="1:12" ht="72.599999999999994" customHeight="1" x14ac:dyDescent="0.3">
      <c r="A38" s="13" t="s">
        <v>144</v>
      </c>
      <c r="B38" s="13" t="s">
        <v>804</v>
      </c>
      <c r="C38" s="13"/>
      <c r="D38" s="13" t="s">
        <v>805</v>
      </c>
      <c r="E38" s="13"/>
      <c r="F38" s="13" t="s">
        <v>176</v>
      </c>
      <c r="G38" s="13" t="s">
        <v>400</v>
      </c>
      <c r="H38" s="13"/>
      <c r="I38" s="13" t="s">
        <v>703</v>
      </c>
      <c r="J38" s="13" t="s">
        <v>160</v>
      </c>
      <c r="K38" s="100"/>
      <c r="L38" s="13"/>
    </row>
    <row r="39" spans="1:12" ht="72.599999999999994" customHeight="1" x14ac:dyDescent="0.3">
      <c r="A39" s="13" t="s">
        <v>144</v>
      </c>
      <c r="B39" s="13" t="s">
        <v>443</v>
      </c>
      <c r="C39" s="13"/>
      <c r="D39" s="13" t="s">
        <v>444</v>
      </c>
      <c r="E39" s="13"/>
      <c r="F39" s="13" t="s">
        <v>141</v>
      </c>
      <c r="G39" s="13" t="s">
        <v>445</v>
      </c>
      <c r="H39" s="13"/>
      <c r="I39" s="13" t="s">
        <v>703</v>
      </c>
      <c r="J39" s="13" t="s">
        <v>703</v>
      </c>
      <c r="K39" s="100"/>
      <c r="L39" s="13" t="s">
        <v>703</v>
      </c>
    </row>
    <row r="40" spans="1:12" ht="28.8" x14ac:dyDescent="0.3">
      <c r="A40" s="13" t="s">
        <v>144</v>
      </c>
      <c r="B40" s="13" t="s">
        <v>156</v>
      </c>
      <c r="C40" s="13"/>
      <c r="D40" s="13" t="s">
        <v>137</v>
      </c>
      <c r="E40" s="13" t="s">
        <v>138</v>
      </c>
      <c r="F40" s="13" t="s">
        <v>139</v>
      </c>
      <c r="G40" s="13"/>
      <c r="H40" s="13" t="s">
        <v>140</v>
      </c>
      <c r="I40" s="13" t="s">
        <v>703</v>
      </c>
      <c r="J40" s="13" t="s">
        <v>703</v>
      </c>
      <c r="K40" s="100"/>
      <c r="L40" s="13"/>
    </row>
    <row r="41" spans="1:12" x14ac:dyDescent="0.3">
      <c r="A41" s="13" t="s">
        <v>144</v>
      </c>
      <c r="B41" s="13" t="s">
        <v>186</v>
      </c>
      <c r="C41" s="13"/>
      <c r="D41" s="13" t="s">
        <v>442</v>
      </c>
      <c r="E41" s="13" t="s">
        <v>174</v>
      </c>
      <c r="F41" s="13" t="s">
        <v>139</v>
      </c>
      <c r="G41" s="13"/>
      <c r="H41" s="13" t="s">
        <v>140</v>
      </c>
      <c r="I41" s="13" t="s">
        <v>703</v>
      </c>
      <c r="J41" s="13" t="s">
        <v>160</v>
      </c>
      <c r="K41" s="100" t="s">
        <v>392</v>
      </c>
      <c r="L41" s="13"/>
    </row>
    <row r="42" spans="1:12" x14ac:dyDescent="0.3">
      <c r="A42" s="13" t="s">
        <v>144</v>
      </c>
      <c r="B42" s="13" t="s">
        <v>330</v>
      </c>
      <c r="C42" s="13"/>
      <c r="D42" s="13" t="s">
        <v>331</v>
      </c>
      <c r="E42" s="13" t="s">
        <v>174</v>
      </c>
      <c r="F42" s="13" t="s">
        <v>131</v>
      </c>
      <c r="G42" s="13"/>
      <c r="H42" s="13" t="s">
        <v>140</v>
      </c>
      <c r="I42" s="13" t="s">
        <v>703</v>
      </c>
      <c r="J42" s="13" t="s">
        <v>160</v>
      </c>
      <c r="K42" s="100"/>
      <c r="L42" s="13"/>
    </row>
    <row r="43" spans="1:12" x14ac:dyDescent="0.3">
      <c r="A43" s="13" t="s">
        <v>144</v>
      </c>
      <c r="B43" s="13" t="s">
        <v>354</v>
      </c>
      <c r="C43" s="13"/>
      <c r="D43" s="13" t="s">
        <v>355</v>
      </c>
      <c r="E43" s="13" t="s">
        <v>356</v>
      </c>
      <c r="F43" s="13" t="s">
        <v>131</v>
      </c>
      <c r="G43" s="13"/>
      <c r="H43" s="13" t="s">
        <v>140</v>
      </c>
      <c r="I43" s="13" t="s">
        <v>703</v>
      </c>
      <c r="J43" s="13" t="s">
        <v>160</v>
      </c>
      <c r="K43" s="100"/>
      <c r="L43" s="13"/>
    </row>
    <row r="44" spans="1:12" x14ac:dyDescent="0.3">
      <c r="A44" s="13" t="s">
        <v>144</v>
      </c>
      <c r="B44" s="13" t="s">
        <v>594</v>
      </c>
      <c r="C44" s="13"/>
      <c r="D44" s="13"/>
      <c r="E44" s="13"/>
      <c r="F44" s="13" t="s">
        <v>131</v>
      </c>
      <c r="G44" s="13"/>
      <c r="H44" s="13" t="s">
        <v>140</v>
      </c>
      <c r="I44" s="13" t="s">
        <v>703</v>
      </c>
      <c r="J44" s="13" t="s">
        <v>160</v>
      </c>
      <c r="K44" s="100"/>
      <c r="L44" s="13"/>
    </row>
    <row r="45" spans="1:12" x14ac:dyDescent="0.3">
      <c r="A45" s="13" t="s">
        <v>144</v>
      </c>
      <c r="B45" s="13" t="s">
        <v>595</v>
      </c>
      <c r="C45" s="13"/>
      <c r="D45" s="13"/>
      <c r="E45" s="13"/>
      <c r="F45" s="13" t="s">
        <v>131</v>
      </c>
      <c r="G45" s="13"/>
      <c r="H45" s="13" t="s">
        <v>140</v>
      </c>
      <c r="I45" s="13" t="s">
        <v>703</v>
      </c>
      <c r="J45" s="13" t="s">
        <v>160</v>
      </c>
      <c r="K45" s="100"/>
      <c r="L45" s="13"/>
    </row>
    <row r="46" spans="1:12" x14ac:dyDescent="0.3">
      <c r="A46" s="13" t="s">
        <v>144</v>
      </c>
      <c r="B46" s="13" t="s">
        <v>596</v>
      </c>
      <c r="C46" s="13"/>
      <c r="D46" s="13"/>
      <c r="E46" s="13"/>
      <c r="F46" s="13" t="s">
        <v>131</v>
      </c>
      <c r="G46" s="13"/>
      <c r="H46" s="13" t="s">
        <v>140</v>
      </c>
      <c r="I46" s="13" t="s">
        <v>703</v>
      </c>
      <c r="J46" s="13" t="s">
        <v>160</v>
      </c>
      <c r="K46" s="100"/>
      <c r="L46" s="13"/>
    </row>
    <row r="47" spans="1:12" s="106" customFormat="1" x14ac:dyDescent="0.3">
      <c r="A47" s="103" t="s">
        <v>710</v>
      </c>
      <c r="B47" s="103"/>
      <c r="C47" s="103"/>
      <c r="D47" s="103" t="s">
        <v>711</v>
      </c>
      <c r="E47" s="103"/>
      <c r="F47" s="103"/>
      <c r="G47" s="103"/>
      <c r="H47" s="103"/>
      <c r="I47" s="103"/>
      <c r="J47" s="103"/>
      <c r="K47" s="103"/>
      <c r="L47" s="103"/>
    </row>
    <row r="48" spans="1:12" x14ac:dyDescent="0.3">
      <c r="A48" s="13" t="s">
        <v>438</v>
      </c>
      <c r="B48" s="13" t="s">
        <v>146</v>
      </c>
      <c r="C48" s="13"/>
      <c r="D48" s="13"/>
      <c r="E48" s="13"/>
      <c r="F48" s="13"/>
      <c r="G48" s="13"/>
      <c r="H48" s="13"/>
      <c r="I48" s="13" t="s">
        <v>703</v>
      </c>
      <c r="J48" s="13" t="s">
        <v>703</v>
      </c>
      <c r="K48" s="100"/>
      <c r="L48" s="13"/>
    </row>
    <row r="49" spans="1:12" ht="28.8" x14ac:dyDescent="0.3">
      <c r="A49" s="13" t="s">
        <v>438</v>
      </c>
      <c r="B49" s="13" t="s">
        <v>156</v>
      </c>
      <c r="C49" s="13"/>
      <c r="D49" s="13" t="s">
        <v>439</v>
      </c>
      <c r="E49" s="13" t="s">
        <v>189</v>
      </c>
      <c r="F49" s="13" t="s">
        <v>131</v>
      </c>
      <c r="G49" s="13"/>
      <c r="H49" s="13" t="s">
        <v>140</v>
      </c>
      <c r="I49" s="13" t="s">
        <v>703</v>
      </c>
      <c r="J49" s="13" t="s">
        <v>703</v>
      </c>
      <c r="K49" s="100"/>
      <c r="L49" s="13"/>
    </row>
    <row r="50" spans="1:12" x14ac:dyDescent="0.3">
      <c r="A50" s="13" t="s">
        <v>438</v>
      </c>
      <c r="B50" s="13" t="s">
        <v>440</v>
      </c>
      <c r="C50" s="13"/>
      <c r="D50" s="13" t="s">
        <v>441</v>
      </c>
      <c r="E50" s="13" t="s">
        <v>174</v>
      </c>
      <c r="F50" s="13" t="s">
        <v>139</v>
      </c>
      <c r="G50" s="13"/>
      <c r="H50" s="13" t="s">
        <v>140</v>
      </c>
      <c r="I50" s="13" t="s">
        <v>703</v>
      </c>
      <c r="J50" s="13" t="s">
        <v>160</v>
      </c>
      <c r="K50" s="100"/>
      <c r="L50" s="13"/>
    </row>
    <row r="51" spans="1:12" x14ac:dyDescent="0.3">
      <c r="A51" s="13" t="s">
        <v>438</v>
      </c>
      <c r="B51" s="13" t="s">
        <v>77</v>
      </c>
      <c r="C51" s="13"/>
      <c r="D51" s="13" t="s">
        <v>446</v>
      </c>
      <c r="E51" s="13"/>
      <c r="F51" s="13"/>
      <c r="G51" s="13"/>
      <c r="H51" s="13"/>
      <c r="I51" s="13" t="s">
        <v>703</v>
      </c>
      <c r="J51" s="13" t="s">
        <v>160</v>
      </c>
      <c r="K51" s="100"/>
      <c r="L51" s="13" t="s">
        <v>703</v>
      </c>
    </row>
    <row r="52" spans="1:12" ht="28.8" x14ac:dyDescent="0.3">
      <c r="A52" s="13" t="s">
        <v>438</v>
      </c>
      <c r="B52" s="13" t="s">
        <v>491</v>
      </c>
      <c r="C52" s="13"/>
      <c r="D52" s="13" t="s">
        <v>492</v>
      </c>
      <c r="E52" s="13" t="s">
        <v>121</v>
      </c>
      <c r="F52" s="13" t="s">
        <v>176</v>
      </c>
      <c r="G52" s="13" t="s">
        <v>400</v>
      </c>
      <c r="H52" s="13"/>
      <c r="I52" s="13" t="s">
        <v>703</v>
      </c>
      <c r="J52" s="13" t="s">
        <v>703</v>
      </c>
      <c r="K52" s="100"/>
      <c r="L52" s="13" t="s">
        <v>703</v>
      </c>
    </row>
    <row r="53" spans="1:12" ht="28.8" x14ac:dyDescent="0.3">
      <c r="A53" s="13" t="s">
        <v>438</v>
      </c>
      <c r="B53" s="13" t="s">
        <v>505</v>
      </c>
      <c r="C53" s="13"/>
      <c r="D53" s="13" t="s">
        <v>506</v>
      </c>
      <c r="E53" s="13"/>
      <c r="F53" s="13" t="s">
        <v>176</v>
      </c>
      <c r="G53" s="13" t="s">
        <v>400</v>
      </c>
      <c r="H53" s="13"/>
      <c r="I53" s="13" t="s">
        <v>703</v>
      </c>
      <c r="J53" s="13" t="s">
        <v>703</v>
      </c>
      <c r="K53" s="100"/>
      <c r="L53" s="13"/>
    </row>
    <row r="54" spans="1:12" ht="28.8" x14ac:dyDescent="0.3">
      <c r="A54" s="13" t="s">
        <v>438</v>
      </c>
      <c r="B54" s="13" t="s">
        <v>507</v>
      </c>
      <c r="C54" s="13"/>
      <c r="D54" s="13" t="s">
        <v>508</v>
      </c>
      <c r="E54" s="13"/>
      <c r="F54" s="13" t="s">
        <v>176</v>
      </c>
      <c r="G54" s="13" t="s">
        <v>400</v>
      </c>
      <c r="H54" s="13"/>
      <c r="I54" s="13" t="s">
        <v>703</v>
      </c>
      <c r="J54" s="13" t="s">
        <v>160</v>
      </c>
      <c r="K54" s="100"/>
      <c r="L54" s="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3F88C-8C1E-4161-B4FE-1E401AEE9FA8}">
  <dimension ref="A1:AC339"/>
  <sheetViews>
    <sheetView tabSelected="1" zoomScale="85" zoomScaleNormal="85" workbookViewId="0">
      <pane xSplit="6" ySplit="2" topLeftCell="G89" activePane="bottomRight" state="frozen"/>
      <selection pane="topRight" activeCell="G1" sqref="G1"/>
      <selection pane="bottomLeft" activeCell="A3" sqref="A3"/>
      <selection pane="bottomRight" activeCell="B89" sqref="B89"/>
    </sheetView>
  </sheetViews>
  <sheetFormatPr defaultColWidth="9.109375" defaultRowHeight="13.2" x14ac:dyDescent="0.25"/>
  <cols>
    <col min="1" max="1" width="6.88671875" style="29" customWidth="1"/>
    <col min="2" max="2" width="5.21875" style="29" customWidth="1"/>
    <col min="3" max="3" width="5.44140625" style="29" customWidth="1"/>
    <col min="4" max="4" width="6.88671875" style="38" customWidth="1"/>
    <col min="5" max="5" width="9.44140625" style="29" hidden="1" customWidth="1"/>
    <col min="6" max="6" width="7.88671875" style="29" hidden="1" customWidth="1"/>
    <col min="7" max="7" width="9.21875" style="29" customWidth="1"/>
    <col min="8" max="8" width="33.44140625" style="29" customWidth="1"/>
    <col min="9" max="9" width="22.6640625" style="29" customWidth="1"/>
    <col min="10" max="11" width="19.77734375" style="29" customWidth="1"/>
    <col min="12" max="12" width="14.21875" style="29" customWidth="1"/>
    <col min="13" max="13" width="43.44140625" style="29" customWidth="1"/>
    <col min="14" max="14" width="9.109375" style="29" customWidth="1"/>
    <col min="15" max="15" width="8.77734375" style="29" customWidth="1"/>
    <col min="16" max="16" width="30.77734375" style="29" customWidth="1"/>
    <col min="17" max="19" width="10.6640625" style="30" hidden="1" customWidth="1"/>
    <col min="20" max="20" width="29.6640625" style="30" hidden="1" customWidth="1"/>
    <col min="21" max="21" width="37.109375" style="51" customWidth="1"/>
    <col min="22" max="22" width="11.6640625" style="36" customWidth="1"/>
    <col min="23" max="23" width="17.5546875" style="36" customWidth="1"/>
    <col min="24" max="24" width="25.77734375" style="36" customWidth="1"/>
    <col min="25" max="25" width="21.6640625" style="29" customWidth="1"/>
    <col min="26" max="27" width="14.21875" style="29" hidden="1" customWidth="1"/>
    <col min="28" max="28" width="59.33203125" style="29" hidden="1" customWidth="1"/>
    <col min="29" max="29" width="9.109375" style="29" hidden="1" customWidth="1"/>
    <col min="30" max="16384" width="9.109375" style="29"/>
  </cols>
  <sheetData>
    <row r="1" spans="1:29" ht="58.2" customHeight="1" thickBot="1" x14ac:dyDescent="0.3">
      <c r="A1" s="16" t="s">
        <v>108</v>
      </c>
      <c r="B1" s="17" t="s">
        <v>0</v>
      </c>
      <c r="C1" s="17" t="s">
        <v>84</v>
      </c>
      <c r="D1" s="17" t="s">
        <v>49</v>
      </c>
      <c r="E1" s="18" t="s">
        <v>84</v>
      </c>
      <c r="F1" s="18" t="s">
        <v>0</v>
      </c>
      <c r="G1" s="45" t="s">
        <v>142</v>
      </c>
      <c r="H1" s="45" t="s">
        <v>109</v>
      </c>
      <c r="I1" s="45" t="s">
        <v>118</v>
      </c>
      <c r="J1" s="45" t="s">
        <v>154</v>
      </c>
      <c r="K1" s="45" t="s">
        <v>159</v>
      </c>
      <c r="L1" s="45" t="s">
        <v>86</v>
      </c>
      <c r="M1" s="45" t="s">
        <v>85</v>
      </c>
      <c r="N1" s="17" t="s">
        <v>111</v>
      </c>
      <c r="O1" s="17" t="s">
        <v>101</v>
      </c>
      <c r="P1" s="17" t="s">
        <v>115</v>
      </c>
      <c r="Q1" s="154" t="s">
        <v>113</v>
      </c>
      <c r="R1" s="155"/>
      <c r="S1" s="155"/>
      <c r="T1" s="156"/>
      <c r="U1" s="47" t="s">
        <v>153</v>
      </c>
      <c r="V1" s="17" t="s">
        <v>100</v>
      </c>
      <c r="W1" s="17" t="s">
        <v>93</v>
      </c>
      <c r="X1" s="17" t="s">
        <v>99</v>
      </c>
      <c r="Y1" s="17" t="s">
        <v>92</v>
      </c>
      <c r="Z1" s="46" t="s">
        <v>87</v>
      </c>
      <c r="AA1" s="46" t="s">
        <v>88</v>
      </c>
      <c r="AB1" s="46" t="s">
        <v>102</v>
      </c>
      <c r="AC1" s="46" t="s">
        <v>104</v>
      </c>
    </row>
    <row r="2" spans="1:29" s="115" customFormat="1" ht="17.399999999999999" customHeight="1" x14ac:dyDescent="0.25">
      <c r="E2" s="115" t="s">
        <v>89</v>
      </c>
      <c r="F2" s="115" t="s">
        <v>90</v>
      </c>
      <c r="I2" s="116" t="s">
        <v>120</v>
      </c>
      <c r="J2" s="116" t="s">
        <v>119</v>
      </c>
      <c r="K2" s="116"/>
      <c r="L2" s="115" t="s">
        <v>97</v>
      </c>
      <c r="M2" s="115" t="s">
        <v>117</v>
      </c>
      <c r="N2" s="116" t="s">
        <v>114</v>
      </c>
      <c r="O2" s="115" t="s">
        <v>802</v>
      </c>
      <c r="P2" s="115" t="s">
        <v>116</v>
      </c>
      <c r="Q2" s="117" t="s">
        <v>96</v>
      </c>
      <c r="R2" s="117">
        <v>1</v>
      </c>
      <c r="S2" s="117">
        <v>10000</v>
      </c>
      <c r="T2" s="117"/>
      <c r="U2" s="118" t="s">
        <v>94</v>
      </c>
      <c r="V2" s="119" t="s">
        <v>95</v>
      </c>
      <c r="W2" s="119" t="s">
        <v>95</v>
      </c>
      <c r="X2" s="119" t="s">
        <v>95</v>
      </c>
      <c r="Y2" s="115" t="s">
        <v>91</v>
      </c>
    </row>
    <row r="3" spans="1:29" s="58" customFormat="1" ht="107.4" customHeight="1" x14ac:dyDescent="0.25">
      <c r="A3" s="126">
        <f>'Appendix G Envelope Rules'!B2</f>
        <v>5</v>
      </c>
      <c r="B3" s="126">
        <f>'Appendix G Envelope Rules'!K2</f>
        <v>1</v>
      </c>
      <c r="C3" s="126" t="s">
        <v>110</v>
      </c>
      <c r="D3" s="126" t="str">
        <f>A3&amp;"-"&amp;B3&amp;C3</f>
        <v>5-1a</v>
      </c>
      <c r="E3" s="60"/>
      <c r="F3" s="60"/>
      <c r="G3" s="60" t="str">
        <f>'Appendix G Envelope Rules'!I2</f>
        <v>Table G3.1 Section 5a</v>
      </c>
      <c r="H3" s="60" t="s">
        <v>162</v>
      </c>
      <c r="I3" s="60" t="s">
        <v>167</v>
      </c>
      <c r="J3" s="60" t="str">
        <f>'Appendix G Envelope Rules'!N2</f>
        <v>Baseline vertical fenestration area is determined correctly (Rule 7)</v>
      </c>
      <c r="K3" s="60" t="s">
        <v>160</v>
      </c>
      <c r="L3" s="58" t="s">
        <v>161</v>
      </c>
      <c r="M3" s="62" t="s">
        <v>851</v>
      </c>
      <c r="N3" s="62" t="s">
        <v>112</v>
      </c>
      <c r="O3" s="62" t="s">
        <v>122</v>
      </c>
      <c r="P3" s="60" t="s">
        <v>170</v>
      </c>
      <c r="Q3" s="65"/>
      <c r="R3" s="65"/>
      <c r="S3" s="65"/>
      <c r="T3" s="60" t="s">
        <v>123</v>
      </c>
      <c r="U3" s="63" t="s">
        <v>846</v>
      </c>
      <c r="V3" s="66"/>
      <c r="W3" s="67"/>
      <c r="X3" s="66" t="s">
        <v>847</v>
      </c>
      <c r="Y3" s="62"/>
    </row>
    <row r="4" spans="1:29" s="56" customFormat="1" ht="77.400000000000006" customHeight="1" x14ac:dyDescent="0.25">
      <c r="A4" s="126">
        <f>A3</f>
        <v>5</v>
      </c>
      <c r="B4" s="126">
        <f>B3</f>
        <v>1</v>
      </c>
      <c r="C4" s="126" t="str">
        <f>CHAR(CODE(C3)+1)</f>
        <v>b</v>
      </c>
      <c r="D4" s="126" t="str">
        <f t="shared" ref="D4:D11" si="0">A4&amp;"-"&amp;B4&amp;C4</f>
        <v>5-1b</v>
      </c>
      <c r="E4" s="60"/>
      <c r="F4" s="60"/>
      <c r="G4" s="60" t="str">
        <f>G3</f>
        <v>Table G3.1 Section 5a</v>
      </c>
      <c r="H4" s="60" t="s">
        <v>162</v>
      </c>
      <c r="I4" s="60" t="s">
        <v>167</v>
      </c>
      <c r="J4" s="60" t="str">
        <f>J3</f>
        <v>Baseline vertical fenestration area is determined correctly (Rule 7)</v>
      </c>
      <c r="K4" s="60" t="s">
        <v>160</v>
      </c>
      <c r="L4" s="58" t="s">
        <v>161</v>
      </c>
      <c r="M4" s="62" t="s">
        <v>852</v>
      </c>
      <c r="N4" s="62" t="s">
        <v>112</v>
      </c>
      <c r="O4" s="62" t="s">
        <v>124</v>
      </c>
      <c r="P4" s="60" t="s">
        <v>849</v>
      </c>
      <c r="Q4" s="65"/>
      <c r="R4" s="65"/>
      <c r="S4" s="65"/>
      <c r="T4" s="60" t="s">
        <v>123</v>
      </c>
      <c r="U4" s="63" t="s">
        <v>846</v>
      </c>
      <c r="V4" s="66"/>
      <c r="W4" s="67"/>
      <c r="X4" s="66" t="s">
        <v>848</v>
      </c>
      <c r="Y4" s="62"/>
    </row>
    <row r="5" spans="1:29" s="56" customFormat="1" ht="76.2" customHeight="1" x14ac:dyDescent="0.25">
      <c r="A5" s="126">
        <f t="shared" ref="A5:A7" si="1">A4</f>
        <v>5</v>
      </c>
      <c r="B5" s="126">
        <f t="shared" ref="B5:B8" si="2">B4</f>
        <v>1</v>
      </c>
      <c r="C5" s="126" t="str">
        <f t="shared" ref="C5:C10" si="3">CHAR(CODE(C4)+1)</f>
        <v>c</v>
      </c>
      <c r="D5" s="126" t="str">
        <f t="shared" ref="D5" si="4">A5&amp;"-"&amp;B5&amp;C5</f>
        <v>5-1c</v>
      </c>
      <c r="E5" s="60"/>
      <c r="F5" s="60"/>
      <c r="G5" s="60" t="str">
        <f t="shared" ref="G5:G7" si="5">G4</f>
        <v>Table G3.1 Section 5a</v>
      </c>
      <c r="H5" s="60" t="s">
        <v>162</v>
      </c>
      <c r="I5" s="60" t="s">
        <v>167</v>
      </c>
      <c r="J5" s="60" t="str">
        <f>J4</f>
        <v>Baseline vertical fenestration area is determined correctly (Rule 7)</v>
      </c>
      <c r="K5" s="60" t="s">
        <v>160</v>
      </c>
      <c r="L5" s="58" t="s">
        <v>161</v>
      </c>
      <c r="M5" s="62" t="s">
        <v>853</v>
      </c>
      <c r="N5" s="62" t="s">
        <v>112</v>
      </c>
      <c r="O5" s="62" t="s">
        <v>122</v>
      </c>
      <c r="P5" s="60" t="s">
        <v>169</v>
      </c>
      <c r="Q5" s="65"/>
      <c r="R5" s="65"/>
      <c r="S5" s="65"/>
      <c r="T5" s="60"/>
      <c r="U5" s="63" t="s">
        <v>846</v>
      </c>
      <c r="V5" s="66" t="s">
        <v>103</v>
      </c>
      <c r="W5" s="67" t="s">
        <v>103</v>
      </c>
      <c r="X5" s="66" t="s">
        <v>850</v>
      </c>
      <c r="Y5" s="62"/>
    </row>
    <row r="6" spans="1:29" s="56" customFormat="1" ht="91.8" customHeight="1" x14ac:dyDescent="0.25">
      <c r="A6" s="126">
        <f t="shared" si="1"/>
        <v>5</v>
      </c>
      <c r="B6" s="126">
        <f t="shared" si="2"/>
        <v>1</v>
      </c>
      <c r="C6" s="126" t="str">
        <f t="shared" si="3"/>
        <v>d</v>
      </c>
      <c r="D6" s="126" t="str">
        <f t="shared" ref="D6" si="6">A6&amp;"-"&amp;B6&amp;C6</f>
        <v>5-1d</v>
      </c>
      <c r="E6" s="60"/>
      <c r="F6" s="60"/>
      <c r="G6" s="60" t="str">
        <f t="shared" si="5"/>
        <v>Table G3.1 Section 5a</v>
      </c>
      <c r="H6" s="60" t="s">
        <v>162</v>
      </c>
      <c r="I6" s="60" t="s">
        <v>167</v>
      </c>
      <c r="J6" s="60" t="str">
        <f>J5</f>
        <v>Baseline vertical fenestration area is determined correctly (Rule 7)</v>
      </c>
      <c r="K6" s="60" t="s">
        <v>160</v>
      </c>
      <c r="L6" s="58" t="s">
        <v>161</v>
      </c>
      <c r="M6" s="62" t="s">
        <v>854</v>
      </c>
      <c r="N6" s="62" t="s">
        <v>112</v>
      </c>
      <c r="O6" s="62" t="s">
        <v>171</v>
      </c>
      <c r="P6" s="60" t="s">
        <v>855</v>
      </c>
      <c r="Q6" s="65"/>
      <c r="R6" s="65"/>
      <c r="S6" s="65"/>
      <c r="T6" s="60"/>
      <c r="U6" s="63" t="s">
        <v>846</v>
      </c>
      <c r="V6" s="66" t="s">
        <v>103</v>
      </c>
      <c r="W6" s="67" t="s">
        <v>103</v>
      </c>
      <c r="X6" s="66" t="s">
        <v>856</v>
      </c>
      <c r="Y6" s="62"/>
    </row>
    <row r="7" spans="1:29" s="56" customFormat="1" ht="102" customHeight="1" x14ac:dyDescent="0.25">
      <c r="A7" s="126">
        <f t="shared" si="1"/>
        <v>5</v>
      </c>
      <c r="B7" s="126">
        <f t="shared" si="2"/>
        <v>1</v>
      </c>
      <c r="C7" s="126" t="str">
        <f t="shared" si="3"/>
        <v>e</v>
      </c>
      <c r="D7" s="126" t="str">
        <f t="shared" ref="D7" si="7">A7&amp;"-"&amp;B7&amp;C7</f>
        <v>5-1e</v>
      </c>
      <c r="E7" s="60"/>
      <c r="F7" s="60"/>
      <c r="G7" s="60" t="str">
        <f t="shared" si="5"/>
        <v>Table G3.1 Section 5a</v>
      </c>
      <c r="H7" s="60" t="s">
        <v>107</v>
      </c>
      <c r="I7" s="60" t="s">
        <v>167</v>
      </c>
      <c r="J7" s="60" t="str">
        <f>J6</f>
        <v>Baseline vertical fenestration area is determined correctly (Rule 7)</v>
      </c>
      <c r="K7" s="60" t="s">
        <v>160</v>
      </c>
      <c r="L7" s="58" t="s">
        <v>161</v>
      </c>
      <c r="M7" s="62" t="s">
        <v>859</v>
      </c>
      <c r="N7" s="62" t="s">
        <v>112</v>
      </c>
      <c r="O7" s="62" t="s">
        <v>122</v>
      </c>
      <c r="P7" s="60" t="s">
        <v>857</v>
      </c>
      <c r="Q7" s="65"/>
      <c r="R7" s="65"/>
      <c r="S7" s="65"/>
      <c r="T7" s="60"/>
      <c r="U7" s="63" t="s">
        <v>846</v>
      </c>
      <c r="V7" s="66" t="s">
        <v>103</v>
      </c>
      <c r="W7" s="67" t="s">
        <v>103</v>
      </c>
      <c r="X7" s="66" t="s">
        <v>858</v>
      </c>
      <c r="Y7" s="62"/>
    </row>
    <row r="8" spans="1:29" s="56" customFormat="1" ht="147.6" customHeight="1" x14ac:dyDescent="0.25">
      <c r="A8" s="126">
        <f>A7</f>
        <v>5</v>
      </c>
      <c r="B8" s="126">
        <f t="shared" si="2"/>
        <v>1</v>
      </c>
      <c r="C8" s="126" t="str">
        <f t="shared" si="3"/>
        <v>f</v>
      </c>
      <c r="D8" s="126" t="str">
        <f>A8&amp;"-"&amp;B8&amp;C8</f>
        <v>5-1f</v>
      </c>
      <c r="E8" s="60"/>
      <c r="F8" s="60"/>
      <c r="G8" s="60" t="str">
        <f>G7</f>
        <v>Table G3.1 Section 5a</v>
      </c>
      <c r="H8" s="60" t="s">
        <v>162</v>
      </c>
      <c r="I8" s="60" t="s">
        <v>167</v>
      </c>
      <c r="J8" s="60" t="str">
        <f>J7</f>
        <v>Baseline vertical fenestration area is determined correctly (Rule 7)</v>
      </c>
      <c r="K8" s="60" t="s">
        <v>160</v>
      </c>
      <c r="L8" s="58" t="s">
        <v>161</v>
      </c>
      <c r="M8" s="62" t="s">
        <v>860</v>
      </c>
      <c r="N8" s="62" t="s">
        <v>112</v>
      </c>
      <c r="O8" s="62" t="s">
        <v>171</v>
      </c>
      <c r="P8" s="60" t="s">
        <v>172</v>
      </c>
      <c r="Q8" s="65"/>
      <c r="R8" s="65"/>
      <c r="S8" s="65"/>
      <c r="T8" s="60"/>
      <c r="U8" s="63" t="s">
        <v>846</v>
      </c>
      <c r="V8" s="66" t="s">
        <v>103</v>
      </c>
      <c r="W8" s="67" t="s">
        <v>103</v>
      </c>
      <c r="X8" s="66" t="s">
        <v>861</v>
      </c>
      <c r="Y8" s="62"/>
    </row>
    <row r="9" spans="1:29" s="56" customFormat="1" ht="147.6" customHeight="1" x14ac:dyDescent="0.25">
      <c r="A9" s="126">
        <v>5</v>
      </c>
      <c r="B9" s="126">
        <v>1</v>
      </c>
      <c r="C9" s="126" t="str">
        <f t="shared" si="3"/>
        <v>g</v>
      </c>
      <c r="D9" s="126" t="str">
        <f>A9&amp;"-"&amp;B9&amp;C9</f>
        <v>5-1g</v>
      </c>
      <c r="E9" s="60"/>
      <c r="F9" s="60"/>
      <c r="G9" s="60" t="str">
        <f>G8</f>
        <v>Table G3.1 Section 5a</v>
      </c>
      <c r="H9" s="60" t="s">
        <v>806</v>
      </c>
      <c r="I9" s="60" t="s">
        <v>807</v>
      </c>
      <c r="J9" s="60" t="s">
        <v>157</v>
      </c>
      <c r="K9" s="60" t="s">
        <v>160</v>
      </c>
      <c r="L9" s="58" t="s">
        <v>144</v>
      </c>
      <c r="M9" s="62" t="s">
        <v>863</v>
      </c>
      <c r="N9" s="62" t="s">
        <v>112</v>
      </c>
      <c r="O9" s="62" t="s">
        <v>122</v>
      </c>
      <c r="P9" s="60" t="s">
        <v>808</v>
      </c>
      <c r="Q9" s="65"/>
      <c r="R9" s="65"/>
      <c r="S9" s="65"/>
      <c r="T9" s="60"/>
      <c r="U9" s="63" t="s">
        <v>862</v>
      </c>
      <c r="V9" s="66"/>
      <c r="W9" s="67"/>
      <c r="X9" s="66" t="s">
        <v>809</v>
      </c>
      <c r="Y9" s="62"/>
    </row>
    <row r="10" spans="1:29" s="56" customFormat="1" ht="147.6" customHeight="1" x14ac:dyDescent="0.25">
      <c r="A10" s="126">
        <v>5</v>
      </c>
      <c r="B10" s="126">
        <v>1</v>
      </c>
      <c r="C10" s="126" t="str">
        <f t="shared" si="3"/>
        <v>h</v>
      </c>
      <c r="D10" s="126" t="str">
        <f>A10&amp;"-"&amp;B10&amp;C10</f>
        <v>5-1h</v>
      </c>
      <c r="E10" s="60"/>
      <c r="F10" s="60"/>
      <c r="G10" s="60" t="str">
        <f>G9</f>
        <v>Table G3.1 Section 5a</v>
      </c>
      <c r="H10" s="60" t="s">
        <v>806</v>
      </c>
      <c r="I10" s="60" t="s">
        <v>807</v>
      </c>
      <c r="J10" s="60" t="s">
        <v>157</v>
      </c>
      <c r="K10" s="60" t="s">
        <v>160</v>
      </c>
      <c r="L10" s="58" t="s">
        <v>144</v>
      </c>
      <c r="M10" s="62" t="s">
        <v>864</v>
      </c>
      <c r="N10" s="62" t="s">
        <v>112</v>
      </c>
      <c r="O10" s="62" t="s">
        <v>124</v>
      </c>
      <c r="P10" s="60" t="s">
        <v>865</v>
      </c>
      <c r="Q10" s="65"/>
      <c r="R10" s="65"/>
      <c r="S10" s="65"/>
      <c r="T10" s="60"/>
      <c r="U10" s="63" t="s">
        <v>862</v>
      </c>
      <c r="V10" s="66"/>
      <c r="W10" s="67"/>
      <c r="X10" s="66" t="s">
        <v>866</v>
      </c>
      <c r="Y10" s="62"/>
    </row>
    <row r="11" spans="1:29" s="52" customFormat="1" ht="148.19999999999999" customHeight="1" x14ac:dyDescent="0.25">
      <c r="A11" s="127">
        <f>A8</f>
        <v>5</v>
      </c>
      <c r="B11" s="127">
        <v>2</v>
      </c>
      <c r="C11" s="128" t="s">
        <v>110</v>
      </c>
      <c r="D11" s="127" t="str">
        <f t="shared" si="0"/>
        <v>5-2a</v>
      </c>
      <c r="E11" s="21" t="s">
        <v>106</v>
      </c>
      <c r="F11" s="21" t="s">
        <v>15</v>
      </c>
      <c r="G11" s="23" t="str">
        <f>'Appendix G Envelope Rules'!I3</f>
        <v>Table G3.1 Section 5b</v>
      </c>
      <c r="H11" s="21" t="s">
        <v>965</v>
      </c>
      <c r="I11" s="21" t="s">
        <v>185</v>
      </c>
      <c r="J11" s="21" t="str">
        <f>'Appendix G Envelope Rules'!N3</f>
        <v>Baseline space conditioning category (conditioned, semiheated, unconditioned), residential vs non-residential occupancy type and surface type (wall vs floor vs roof) are determined correctly</v>
      </c>
      <c r="K11" s="21" t="s">
        <v>867</v>
      </c>
      <c r="L11" s="52" t="s">
        <v>144</v>
      </c>
      <c r="M11" s="22" t="s">
        <v>311</v>
      </c>
      <c r="N11" s="22" t="s">
        <v>112</v>
      </c>
      <c r="O11" s="24" t="s">
        <v>122</v>
      </c>
      <c r="P11" s="21" t="s">
        <v>306</v>
      </c>
      <c r="Q11" s="23" t="s">
        <v>96</v>
      </c>
      <c r="R11" s="23">
        <v>1</v>
      </c>
      <c r="S11" s="23">
        <v>10000</v>
      </c>
      <c r="T11" s="23"/>
      <c r="U11" s="53" t="s">
        <v>191</v>
      </c>
      <c r="V11" s="32"/>
      <c r="W11" s="32"/>
      <c r="X11" s="32" t="s">
        <v>359</v>
      </c>
      <c r="Y11" s="24"/>
    </row>
    <row r="12" spans="1:29" s="52" customFormat="1" ht="125.4" customHeight="1" x14ac:dyDescent="0.25">
      <c r="A12" s="127">
        <f>A9</f>
        <v>5</v>
      </c>
      <c r="B12" s="127">
        <v>2</v>
      </c>
      <c r="C12" s="128" t="str">
        <f>CHAR(CODE(C11)+1)</f>
        <v>b</v>
      </c>
      <c r="D12" s="127" t="str">
        <f t="shared" ref="D12" si="8">A12&amp;"-"&amp;B12&amp;C12</f>
        <v>5-2b</v>
      </c>
      <c r="E12" s="21" t="s">
        <v>106</v>
      </c>
      <c r="F12" s="21" t="s">
        <v>15</v>
      </c>
      <c r="G12" s="23" t="str">
        <f>'Appendix G Envelope Rules'!I4</f>
        <v>Table G3.1 Section 5b</v>
      </c>
      <c r="H12" s="21" t="s">
        <v>965</v>
      </c>
      <c r="I12" s="21" t="s">
        <v>185</v>
      </c>
      <c r="J12" s="21" t="str">
        <f>'Appendix G Envelope Rules'!N4</f>
        <v>Baseline space conditioning category (conditioned, semiheated, unconditioned), residential vs non-residential occupancy type and surface type (wall vs floor vs roof) are determined correctly</v>
      </c>
      <c r="K12" s="21" t="s">
        <v>867</v>
      </c>
      <c r="L12" s="52" t="s">
        <v>144</v>
      </c>
      <c r="M12" s="22" t="s">
        <v>314</v>
      </c>
      <c r="N12" s="22" t="s">
        <v>112</v>
      </c>
      <c r="O12" s="24" t="s">
        <v>122</v>
      </c>
      <c r="P12" s="21" t="s">
        <v>306</v>
      </c>
      <c r="Q12" s="23" t="s">
        <v>96</v>
      </c>
      <c r="R12" s="23">
        <v>1</v>
      </c>
      <c r="S12" s="23">
        <v>10000</v>
      </c>
      <c r="T12" s="23"/>
      <c r="U12" s="53" t="s">
        <v>191</v>
      </c>
      <c r="V12" s="32"/>
      <c r="W12" s="32"/>
      <c r="X12" s="32" t="s">
        <v>886</v>
      </c>
      <c r="Y12" s="24"/>
    </row>
    <row r="13" spans="1:29" s="52" customFormat="1" ht="92.4" customHeight="1" x14ac:dyDescent="0.25">
      <c r="A13" s="127">
        <f>A11</f>
        <v>5</v>
      </c>
      <c r="B13" s="127">
        <v>2</v>
      </c>
      <c r="C13" s="128" t="str">
        <f>CHAR(CODE(C12)+1)</f>
        <v>c</v>
      </c>
      <c r="D13" s="127" t="str">
        <f t="shared" ref="D13:D14" si="9">A13&amp;"-"&amp;B13&amp;C13</f>
        <v>5-2c</v>
      </c>
      <c r="E13" s="21" t="s">
        <v>106</v>
      </c>
      <c r="F13" s="21" t="s">
        <v>15</v>
      </c>
      <c r="G13" s="23" t="str">
        <f>G11</f>
        <v>Table G3.1 Section 5b</v>
      </c>
      <c r="H13" s="21" t="str">
        <f>H11</f>
        <v>Baseline roof assemblies must conform with assemblies detailed in Appendix A ( Above-grade walls—Steel-framed A2.2) and match the appropriate assembly maximum U-factors in Tables G3.4-1 through G3.4-8</v>
      </c>
      <c r="I13" s="21" t="s">
        <v>185</v>
      </c>
      <c r="J13" s="21" t="str">
        <f>J11</f>
        <v>Baseline space conditioning category (conditioned, semiheated, unconditioned), residential vs non-residential occupancy type and surface type (wall vs floor vs roof) are determined correctly</v>
      </c>
      <c r="K13" s="21" t="s">
        <v>187</v>
      </c>
      <c r="L13" s="52" t="str">
        <f>L11</f>
        <v>Surface</v>
      </c>
      <c r="M13" s="22" t="s">
        <v>312</v>
      </c>
      <c r="N13" s="22" t="s">
        <v>112</v>
      </c>
      <c r="O13" s="24" t="s">
        <v>124</v>
      </c>
      <c r="P13" s="21" t="s">
        <v>307</v>
      </c>
      <c r="Q13" s="23" t="s">
        <v>96</v>
      </c>
      <c r="R13" s="23">
        <v>1</v>
      </c>
      <c r="S13" s="23">
        <v>10000</v>
      </c>
      <c r="T13" s="23"/>
      <c r="U13" s="53" t="s">
        <v>191</v>
      </c>
      <c r="V13" s="32"/>
      <c r="W13" s="32"/>
      <c r="X13" s="32" t="s">
        <v>360</v>
      </c>
      <c r="Y13" s="24"/>
    </row>
    <row r="14" spans="1:29" s="52" customFormat="1" ht="142.80000000000001" customHeight="1" x14ac:dyDescent="0.25">
      <c r="A14" s="127">
        <f t="shared" ref="A14:A15" si="10">A13</f>
        <v>5</v>
      </c>
      <c r="B14" s="127">
        <v>2</v>
      </c>
      <c r="C14" s="128" t="str">
        <f t="shared" ref="C14:C20" si="11">CHAR(CODE(C13)+1)</f>
        <v>d</v>
      </c>
      <c r="D14" s="127" t="str">
        <f t="shared" si="9"/>
        <v>5-2d</v>
      </c>
      <c r="E14" s="21" t="s">
        <v>106</v>
      </c>
      <c r="F14" s="21" t="s">
        <v>15</v>
      </c>
      <c r="G14" s="23" t="str">
        <f t="shared" ref="G14:G19" si="12">G13</f>
        <v>Table G3.1 Section 5b</v>
      </c>
      <c r="H14" s="21" t="str">
        <f t="shared" ref="H14:H19" si="13">H13</f>
        <v>Baseline roof assemblies must conform with assemblies detailed in Appendix A ( Above-grade walls—Steel-framed A2.2) and match the appropriate assembly maximum U-factors in Tables G3.4-1 through G3.4-8</v>
      </c>
      <c r="I14" s="21" t="s">
        <v>185</v>
      </c>
      <c r="J14" s="21" t="str">
        <f t="shared" ref="J14:J19" si="14">J13</f>
        <v>Baseline space conditioning category (conditioned, semiheated, unconditioned), residential vs non-residential occupancy type and surface type (wall vs floor vs roof) are determined correctly</v>
      </c>
      <c r="K14" s="21" t="s">
        <v>187</v>
      </c>
      <c r="L14" s="52" t="str">
        <f t="shared" ref="L14:L19" si="15">L13</f>
        <v>Surface</v>
      </c>
      <c r="M14" s="22" t="s">
        <v>313</v>
      </c>
      <c r="N14" s="22" t="s">
        <v>112</v>
      </c>
      <c r="O14" s="24" t="s">
        <v>122</v>
      </c>
      <c r="P14" s="21" t="s">
        <v>308</v>
      </c>
      <c r="Q14" s="23" t="s">
        <v>96</v>
      </c>
      <c r="R14" s="23">
        <v>1</v>
      </c>
      <c r="S14" s="23">
        <v>10000</v>
      </c>
      <c r="T14" s="23"/>
      <c r="U14" s="53" t="s">
        <v>191</v>
      </c>
      <c r="V14" s="32"/>
      <c r="W14" s="32"/>
      <c r="X14" s="32" t="s">
        <v>361</v>
      </c>
      <c r="Y14" s="24"/>
    </row>
    <row r="15" spans="1:29" s="52" customFormat="1" ht="142.80000000000001" customHeight="1" x14ac:dyDescent="0.25">
      <c r="A15" s="127">
        <f t="shared" si="10"/>
        <v>5</v>
      </c>
      <c r="B15" s="127">
        <v>2</v>
      </c>
      <c r="C15" s="128" t="str">
        <f t="shared" si="11"/>
        <v>e</v>
      </c>
      <c r="D15" s="127" t="str">
        <f t="shared" ref="D15" si="16">A15&amp;"-"&amp;B15&amp;C15</f>
        <v>5-2e</v>
      </c>
      <c r="E15" s="21" t="s">
        <v>106</v>
      </c>
      <c r="F15" s="21" t="s">
        <v>15</v>
      </c>
      <c r="G15" s="23" t="str">
        <f t="shared" si="12"/>
        <v>Table G3.1 Section 5b</v>
      </c>
      <c r="H15" s="21" t="str">
        <f t="shared" si="13"/>
        <v>Baseline roof assemblies must conform with assemblies detailed in Appendix A ( Above-grade walls—Steel-framed A2.2) and match the appropriate assembly maximum U-factors in Tables G3.4-1 through G3.4-8</v>
      </c>
      <c r="I15" s="21" t="s">
        <v>185</v>
      </c>
      <c r="J15" s="21" t="str">
        <f t="shared" si="14"/>
        <v>Baseline space conditioning category (conditioned, semiheated, unconditioned), residential vs non-residential occupancy type and surface type (wall vs floor vs roof) are determined correctly</v>
      </c>
      <c r="K15" s="21" t="s">
        <v>187</v>
      </c>
      <c r="L15" s="52" t="str">
        <f t="shared" si="15"/>
        <v>Surface</v>
      </c>
      <c r="M15" s="22" t="s">
        <v>869</v>
      </c>
      <c r="N15" s="22" t="s">
        <v>112</v>
      </c>
      <c r="O15" s="24" t="s">
        <v>124</v>
      </c>
      <c r="P15" s="21" t="s">
        <v>870</v>
      </c>
      <c r="Q15" s="23" t="s">
        <v>96</v>
      </c>
      <c r="R15" s="23">
        <v>1</v>
      </c>
      <c r="S15" s="23">
        <v>10000</v>
      </c>
      <c r="T15" s="23"/>
      <c r="U15" s="53" t="s">
        <v>191</v>
      </c>
      <c r="V15" s="32"/>
      <c r="W15" s="32"/>
      <c r="X15" s="32" t="s">
        <v>871</v>
      </c>
      <c r="Y15" s="24"/>
    </row>
    <row r="16" spans="1:29" s="52" customFormat="1" ht="105.6" customHeight="1" x14ac:dyDescent="0.25">
      <c r="A16" s="127">
        <f t="shared" ref="A16" si="17">A14</f>
        <v>5</v>
      </c>
      <c r="B16" s="127">
        <v>2</v>
      </c>
      <c r="C16" s="128" t="str">
        <f>CHAR(CODE(C14)+1)</f>
        <v>e</v>
      </c>
      <c r="D16" s="127" t="str">
        <f t="shared" ref="D16" si="18">A16&amp;"-"&amp;B16&amp;C16</f>
        <v>5-2e</v>
      </c>
      <c r="E16" s="21" t="s">
        <v>106</v>
      </c>
      <c r="F16" s="21" t="s">
        <v>15</v>
      </c>
      <c r="G16" s="23" t="str">
        <f t="shared" si="12"/>
        <v>Table G3.1 Section 5b</v>
      </c>
      <c r="H16" s="21" t="str">
        <f>H14</f>
        <v>Baseline roof assemblies must conform with assemblies detailed in Appendix A ( Above-grade walls—Steel-framed A2.2) and match the appropriate assembly maximum U-factors in Tables G3.4-1 through G3.4-8</v>
      </c>
      <c r="I16" s="21" t="s">
        <v>185</v>
      </c>
      <c r="J16" s="21" t="str">
        <f t="shared" si="14"/>
        <v>Baseline space conditioning category (conditioned, semiheated, unconditioned), residential vs non-residential occupancy type and surface type (wall vs floor vs roof) are determined correctly</v>
      </c>
      <c r="K16" s="21" t="s">
        <v>187</v>
      </c>
      <c r="L16" s="52" t="str">
        <f t="shared" si="15"/>
        <v>Surface</v>
      </c>
      <c r="M16" s="22" t="s">
        <v>872</v>
      </c>
      <c r="N16" s="22" t="s">
        <v>112</v>
      </c>
      <c r="O16" s="24" t="s">
        <v>122</v>
      </c>
      <c r="P16" s="21" t="s">
        <v>310</v>
      </c>
      <c r="Q16" s="23" t="s">
        <v>96</v>
      </c>
      <c r="R16" s="23">
        <v>1</v>
      </c>
      <c r="S16" s="23">
        <v>10000</v>
      </c>
      <c r="T16" s="23"/>
      <c r="U16" s="53" t="s">
        <v>876</v>
      </c>
      <c r="V16" s="32"/>
      <c r="W16" s="32"/>
      <c r="X16" s="32" t="s">
        <v>877</v>
      </c>
      <c r="Y16" s="24"/>
    </row>
    <row r="17" spans="1:25" s="52" customFormat="1" ht="105.6" customHeight="1" x14ac:dyDescent="0.25">
      <c r="A17" s="127">
        <f t="shared" ref="A17:A18" si="19">A16</f>
        <v>5</v>
      </c>
      <c r="B17" s="127">
        <v>2</v>
      </c>
      <c r="C17" s="128" t="str">
        <f t="shared" si="11"/>
        <v>f</v>
      </c>
      <c r="D17" s="127" t="str">
        <f t="shared" ref="D17" si="20">A17&amp;"-"&amp;B17&amp;C17</f>
        <v>5-2f</v>
      </c>
      <c r="E17" s="21" t="s">
        <v>106</v>
      </c>
      <c r="F17" s="21" t="s">
        <v>15</v>
      </c>
      <c r="G17" s="23" t="str">
        <f t="shared" si="12"/>
        <v>Table G3.1 Section 5b</v>
      </c>
      <c r="H17" s="21" t="str">
        <f t="shared" si="13"/>
        <v>Baseline roof assemblies must conform with assemblies detailed in Appendix A ( Above-grade walls—Steel-framed A2.2) and match the appropriate assembly maximum U-factors in Tables G3.4-1 through G3.4-8</v>
      </c>
      <c r="I17" s="21" t="s">
        <v>185</v>
      </c>
      <c r="J17" s="21" t="str">
        <f t="shared" si="14"/>
        <v>Baseline space conditioning category (conditioned, semiheated, unconditioned), residential vs non-residential occupancy type and surface type (wall vs floor vs roof) are determined correctly</v>
      </c>
      <c r="K17" s="21" t="s">
        <v>187</v>
      </c>
      <c r="L17" s="52" t="str">
        <f t="shared" si="15"/>
        <v>Surface</v>
      </c>
      <c r="M17" s="22" t="s">
        <v>875</v>
      </c>
      <c r="N17" s="22" t="s">
        <v>112</v>
      </c>
      <c r="O17" s="24" t="s">
        <v>124</v>
      </c>
      <c r="P17" s="21" t="s">
        <v>362</v>
      </c>
      <c r="Q17" s="23" t="s">
        <v>96</v>
      </c>
      <c r="R17" s="23">
        <v>1</v>
      </c>
      <c r="S17" s="23">
        <v>10000</v>
      </c>
      <c r="T17" s="23"/>
      <c r="U17" s="53" t="s">
        <v>874</v>
      </c>
      <c r="V17" s="32"/>
      <c r="W17" s="32"/>
      <c r="X17" s="32" t="s">
        <v>873</v>
      </c>
      <c r="Y17" s="24"/>
    </row>
    <row r="18" spans="1:25" s="52" customFormat="1" ht="105.6" customHeight="1" x14ac:dyDescent="0.25">
      <c r="A18" s="127">
        <f t="shared" si="19"/>
        <v>5</v>
      </c>
      <c r="B18" s="127">
        <v>2</v>
      </c>
      <c r="C18" s="128" t="str">
        <f t="shared" si="11"/>
        <v>g</v>
      </c>
      <c r="D18" s="127" t="str">
        <f t="shared" ref="D18" si="21">A18&amp;"-"&amp;B18&amp;C18</f>
        <v>5-2g</v>
      </c>
      <c r="E18" s="21" t="s">
        <v>106</v>
      </c>
      <c r="F18" s="21" t="s">
        <v>15</v>
      </c>
      <c r="G18" s="23" t="str">
        <f t="shared" si="12"/>
        <v>Table G3.1 Section 5b</v>
      </c>
      <c r="H18" s="21" t="str">
        <f t="shared" si="13"/>
        <v>Baseline roof assemblies must conform with assemblies detailed in Appendix A ( Above-grade walls—Steel-framed A2.2) and match the appropriate assembly maximum U-factors in Tables G3.4-1 through G3.4-8</v>
      </c>
      <c r="I18" s="21" t="s">
        <v>315</v>
      </c>
      <c r="J18" s="21" t="str">
        <f t="shared" si="14"/>
        <v>Baseline space conditioning category (conditioned, semiheated, unconditioned), residential vs non-residential occupancy type and surface type (wall vs floor vs roof) are determined correctly</v>
      </c>
      <c r="K18" s="21" t="s">
        <v>160</v>
      </c>
      <c r="L18" s="52" t="str">
        <f t="shared" si="15"/>
        <v>Surface</v>
      </c>
      <c r="M18" s="22" t="s">
        <v>883</v>
      </c>
      <c r="N18" s="22" t="s">
        <v>112</v>
      </c>
      <c r="O18" s="24" t="s">
        <v>122</v>
      </c>
      <c r="P18" s="21" t="s">
        <v>878</v>
      </c>
      <c r="Q18" s="23" t="s">
        <v>96</v>
      </c>
      <c r="R18" s="23">
        <v>1</v>
      </c>
      <c r="S18" s="23">
        <v>10000</v>
      </c>
      <c r="T18" s="23"/>
      <c r="U18" s="53" t="s">
        <v>880</v>
      </c>
      <c r="V18" s="32" t="s">
        <v>881</v>
      </c>
      <c r="W18" s="32"/>
      <c r="X18" s="32" t="s">
        <v>881</v>
      </c>
      <c r="Y18" s="24"/>
    </row>
    <row r="19" spans="1:25" s="52" customFormat="1" ht="90.6" customHeight="1" x14ac:dyDescent="0.25">
      <c r="A19" s="127">
        <f t="shared" ref="A19:A22" si="22">A18</f>
        <v>5</v>
      </c>
      <c r="B19" s="127">
        <v>2</v>
      </c>
      <c r="C19" s="128" t="str">
        <f t="shared" si="11"/>
        <v>h</v>
      </c>
      <c r="D19" s="127" t="str">
        <f t="shared" ref="D19:D28" si="23">A19&amp;"-"&amp;B19&amp;C19</f>
        <v>5-2h</v>
      </c>
      <c r="E19" s="21" t="s">
        <v>106</v>
      </c>
      <c r="F19" s="21" t="s">
        <v>15</v>
      </c>
      <c r="G19" s="23" t="str">
        <f t="shared" si="12"/>
        <v>Table G3.1 Section 5b</v>
      </c>
      <c r="H19" s="21" t="str">
        <f t="shared" si="13"/>
        <v>Baseline roof assemblies must conform with assemblies detailed in Appendix A ( Above-grade walls—Steel-framed A2.2) and match the appropriate assembly maximum U-factors in Tables G3.4-1 through G3.4-8</v>
      </c>
      <c r="I19" s="21" t="s">
        <v>315</v>
      </c>
      <c r="J19" s="21" t="str">
        <f t="shared" si="14"/>
        <v>Baseline space conditioning category (conditioned, semiheated, unconditioned), residential vs non-residential occupancy type and surface type (wall vs floor vs roof) are determined correctly</v>
      </c>
      <c r="K19" s="21" t="s">
        <v>160</v>
      </c>
      <c r="L19" s="52" t="str">
        <f t="shared" si="15"/>
        <v>Surface</v>
      </c>
      <c r="M19" s="22" t="s">
        <v>931</v>
      </c>
      <c r="N19" s="22" t="s">
        <v>112</v>
      </c>
      <c r="O19" s="24" t="s">
        <v>124</v>
      </c>
      <c r="P19" s="21" t="s">
        <v>879</v>
      </c>
      <c r="Q19" s="23" t="s">
        <v>96</v>
      </c>
      <c r="R19" s="23">
        <v>1</v>
      </c>
      <c r="S19" s="23">
        <v>10000</v>
      </c>
      <c r="T19" s="23"/>
      <c r="U19" s="53" t="s">
        <v>880</v>
      </c>
      <c r="V19" s="32" t="s">
        <v>881</v>
      </c>
      <c r="W19" s="32"/>
      <c r="X19" s="32" t="s">
        <v>882</v>
      </c>
      <c r="Y19" s="24"/>
    </row>
    <row r="20" spans="1:25" s="52" customFormat="1" ht="90.6" customHeight="1" x14ac:dyDescent="0.25">
      <c r="A20" s="127">
        <f t="shared" si="22"/>
        <v>5</v>
      </c>
      <c r="B20" s="127">
        <v>2</v>
      </c>
      <c r="C20" s="128" t="str">
        <f t="shared" si="11"/>
        <v>i</v>
      </c>
      <c r="D20" s="127" t="str">
        <f t="shared" ref="D20" si="24">A20&amp;"-"&amp;B20&amp;C20</f>
        <v>5-2i</v>
      </c>
      <c r="E20" s="21" t="s">
        <v>106</v>
      </c>
      <c r="F20" s="21" t="s">
        <v>15</v>
      </c>
      <c r="G20" s="23" t="str">
        <f t="shared" ref="G20" si="25">G19</f>
        <v>Table G3.1 Section 5b</v>
      </c>
      <c r="H20" s="21" t="s">
        <v>911</v>
      </c>
      <c r="I20" s="21" t="s">
        <v>901</v>
      </c>
      <c r="J20" s="21" t="s">
        <v>157</v>
      </c>
      <c r="K20" s="21" t="s">
        <v>160</v>
      </c>
      <c r="L20" s="52" t="str">
        <f t="shared" ref="L20" si="26">L19</f>
        <v>Surface</v>
      </c>
      <c r="M20" s="22" t="s">
        <v>913</v>
      </c>
      <c r="N20" s="22" t="s">
        <v>431</v>
      </c>
      <c r="O20" s="24" t="s">
        <v>122</v>
      </c>
      <c r="P20" s="21" t="s">
        <v>912</v>
      </c>
      <c r="Q20" s="23" t="s">
        <v>96</v>
      </c>
      <c r="R20" s="23">
        <v>1</v>
      </c>
      <c r="S20" s="23">
        <v>10000</v>
      </c>
      <c r="T20" s="23"/>
      <c r="U20" s="53" t="s">
        <v>902</v>
      </c>
      <c r="V20" s="32" t="s">
        <v>903</v>
      </c>
      <c r="W20" s="32" t="s">
        <v>903</v>
      </c>
      <c r="X20" s="32"/>
      <c r="Y20" s="24"/>
    </row>
    <row r="21" spans="1:25" s="57" customFormat="1" ht="118.8" customHeight="1" x14ac:dyDescent="0.25">
      <c r="A21" s="126">
        <f>A19</f>
        <v>5</v>
      </c>
      <c r="B21" s="126">
        <v>3</v>
      </c>
      <c r="C21" s="129" t="s">
        <v>110</v>
      </c>
      <c r="D21" s="126" t="str">
        <f t="shared" si="23"/>
        <v>5-3a</v>
      </c>
      <c r="E21" s="59" t="s">
        <v>106</v>
      </c>
      <c r="F21" s="59" t="s">
        <v>15</v>
      </c>
      <c r="G21" s="60" t="str">
        <f>'Appendix G Envelope Rules'!I4</f>
        <v>Table G3.1 Section 5b</v>
      </c>
      <c r="H21" s="59" t="s">
        <v>966</v>
      </c>
      <c r="I21" s="59" t="s">
        <v>884</v>
      </c>
      <c r="J21" s="59" t="str">
        <f>'Appendix G Envelope Rules'!N4</f>
        <v>Baseline space conditioning category (conditioned, semiheated, unconditioned), residential vs non-residential occupancy type and surface type (wall vs floor vs roof) are determined correctly</v>
      </c>
      <c r="K21" s="59" t="str">
        <f>K17</f>
        <v>Yes, Tables G3.4-1 to G3.4-8</v>
      </c>
      <c r="L21" s="57" t="str">
        <f>L19</f>
        <v>Surface</v>
      </c>
      <c r="M21" s="61" t="s">
        <v>316</v>
      </c>
      <c r="N21" s="61" t="s">
        <v>112</v>
      </c>
      <c r="O21" s="62" t="s">
        <v>122</v>
      </c>
      <c r="P21" s="59" t="s">
        <v>317</v>
      </c>
      <c r="Q21" s="60" t="s">
        <v>96</v>
      </c>
      <c r="R21" s="60">
        <v>1</v>
      </c>
      <c r="S21" s="60">
        <v>10000</v>
      </c>
      <c r="T21" s="60"/>
      <c r="U21" s="63" t="s">
        <v>318</v>
      </c>
      <c r="V21" s="64"/>
      <c r="W21" s="64"/>
      <c r="X21" s="64" t="s">
        <v>887</v>
      </c>
      <c r="Y21" s="62"/>
    </row>
    <row r="22" spans="1:25" s="57" customFormat="1" ht="99" customHeight="1" x14ac:dyDescent="0.25">
      <c r="A22" s="126">
        <f t="shared" si="22"/>
        <v>5</v>
      </c>
      <c r="B22" s="126">
        <f>B21</f>
        <v>3</v>
      </c>
      <c r="C22" s="129" t="str">
        <f>CHAR(CODE(C21)+1)</f>
        <v>b</v>
      </c>
      <c r="D22" s="126" t="str">
        <f t="shared" si="23"/>
        <v>5-3b</v>
      </c>
      <c r="E22" s="59" t="s">
        <v>106</v>
      </c>
      <c r="F22" s="59" t="s">
        <v>15</v>
      </c>
      <c r="G22" s="60" t="str">
        <f>G21</f>
        <v>Table G3.1 Section 5b</v>
      </c>
      <c r="H22" s="59" t="str">
        <f>H21</f>
        <v>Baseline below-grade walls shall conform with assemblies detailed in Appendix A Concrete block, A4) and shall match the appropriate assembly maximum C-factors in Tables G3.4-1 through G3.4-8</v>
      </c>
      <c r="I22" s="59" t="str">
        <f>I21</f>
        <v>Baseline RMR Surface:C_factor = expected value</v>
      </c>
      <c r="J22" s="59" t="str">
        <f>J21</f>
        <v>Baseline space conditioning category (conditioned, semiheated, unconditioned), residential vs non-residential occupancy type and surface type (wall vs floor vs roof) are determined correctly</v>
      </c>
      <c r="K22" s="59" t="str">
        <f>K21</f>
        <v>Yes, Tables G3.4-1 to G3.4-8</v>
      </c>
      <c r="L22" s="57" t="str">
        <f t="shared" ref="L22:L29" si="27">L21</f>
        <v>Surface</v>
      </c>
      <c r="M22" s="61" t="s">
        <v>888</v>
      </c>
      <c r="N22" s="61" t="s">
        <v>112</v>
      </c>
      <c r="O22" s="62" t="s">
        <v>122</v>
      </c>
      <c r="P22" s="59" t="s">
        <v>320</v>
      </c>
      <c r="Q22" s="60" t="s">
        <v>96</v>
      </c>
      <c r="R22" s="60">
        <v>1</v>
      </c>
      <c r="S22" s="60">
        <v>10000</v>
      </c>
      <c r="T22" s="60"/>
      <c r="U22" s="63" t="s">
        <v>318</v>
      </c>
      <c r="V22" s="64"/>
      <c r="W22" s="64"/>
      <c r="X22" s="64" t="s">
        <v>900</v>
      </c>
      <c r="Y22" s="62"/>
    </row>
    <row r="23" spans="1:25" s="57" customFormat="1" ht="92.4" customHeight="1" x14ac:dyDescent="0.25">
      <c r="A23" s="126">
        <f>A21</f>
        <v>5</v>
      </c>
      <c r="B23" s="126">
        <f t="shared" ref="B23:B30" si="28">B22</f>
        <v>3</v>
      </c>
      <c r="C23" s="129" t="str">
        <f t="shared" ref="C23:C30" si="29">CHAR(CODE(C22)+1)</f>
        <v>c</v>
      </c>
      <c r="D23" s="126" t="str">
        <f t="shared" si="23"/>
        <v>5-3c</v>
      </c>
      <c r="E23" s="59" t="s">
        <v>106</v>
      </c>
      <c r="F23" s="59" t="s">
        <v>15</v>
      </c>
      <c r="G23" s="60" t="str">
        <f t="shared" ref="G23:G30" si="30">G22</f>
        <v>Table G3.1 Section 5b</v>
      </c>
      <c r="H23" s="59" t="str">
        <f t="shared" ref="H23:H29" si="31">H22</f>
        <v>Baseline below-grade walls shall conform with assemblies detailed in Appendix A Concrete block, A4) and shall match the appropriate assembly maximum C-factors in Tables G3.4-1 through G3.4-8</v>
      </c>
      <c r="I23" s="59" t="str">
        <f>I22</f>
        <v>Baseline RMR Surface:C_factor = expected value</v>
      </c>
      <c r="J23" s="59" t="str">
        <f t="shared" ref="J23:J29" si="32">J22</f>
        <v>Baseline space conditioning category (conditioned, semiheated, unconditioned), residential vs non-residential occupancy type and surface type (wall vs floor vs roof) are determined correctly</v>
      </c>
      <c r="K23" s="59" t="s">
        <v>187</v>
      </c>
      <c r="L23" s="57" t="str">
        <f t="shared" si="27"/>
        <v>Surface</v>
      </c>
      <c r="M23" s="61" t="s">
        <v>319</v>
      </c>
      <c r="N23" s="61" t="s">
        <v>112</v>
      </c>
      <c r="O23" s="62" t="s">
        <v>124</v>
      </c>
      <c r="P23" s="59" t="s">
        <v>321</v>
      </c>
      <c r="Q23" s="60" t="s">
        <v>96</v>
      </c>
      <c r="R23" s="60">
        <v>1</v>
      </c>
      <c r="S23" s="60">
        <v>10000</v>
      </c>
      <c r="T23" s="60"/>
      <c r="U23" s="63" t="s">
        <v>318</v>
      </c>
      <c r="V23" s="64"/>
      <c r="W23" s="64"/>
      <c r="X23" s="64" t="s">
        <v>899</v>
      </c>
      <c r="Y23" s="62"/>
    </row>
    <row r="24" spans="1:25" s="57" customFormat="1" ht="142.80000000000001" customHeight="1" x14ac:dyDescent="0.25">
      <c r="A24" s="126">
        <f t="shared" ref="A24:A32" si="33">A23</f>
        <v>5</v>
      </c>
      <c r="B24" s="126">
        <f t="shared" si="28"/>
        <v>3</v>
      </c>
      <c r="C24" s="129" t="str">
        <f t="shared" si="29"/>
        <v>d</v>
      </c>
      <c r="D24" s="126" t="str">
        <f t="shared" si="23"/>
        <v>5-3d</v>
      </c>
      <c r="E24" s="59" t="s">
        <v>106</v>
      </c>
      <c r="F24" s="59" t="s">
        <v>15</v>
      </c>
      <c r="G24" s="60" t="str">
        <f t="shared" si="30"/>
        <v>Table G3.1 Section 5b</v>
      </c>
      <c r="H24" s="59" t="str">
        <f t="shared" si="31"/>
        <v>Baseline below-grade walls shall conform with assemblies detailed in Appendix A Concrete block, A4) and shall match the appropriate assembly maximum C-factors in Tables G3.4-1 through G3.4-8</v>
      </c>
      <c r="I24" s="59" t="str">
        <f>I23</f>
        <v>Baseline RMR Surface:C_factor = expected value</v>
      </c>
      <c r="J24" s="59" t="str">
        <f t="shared" si="32"/>
        <v>Baseline space conditioning category (conditioned, semiheated, unconditioned), residential vs non-residential occupancy type and surface type (wall vs floor vs roof) are determined correctly</v>
      </c>
      <c r="K24" s="59" t="s">
        <v>187</v>
      </c>
      <c r="L24" s="57" t="str">
        <f t="shared" si="27"/>
        <v>Surface</v>
      </c>
      <c r="M24" s="61" t="s">
        <v>322</v>
      </c>
      <c r="N24" s="61" t="s">
        <v>112</v>
      </c>
      <c r="O24" s="62" t="s">
        <v>122</v>
      </c>
      <c r="P24" s="59" t="s">
        <v>325</v>
      </c>
      <c r="Q24" s="60" t="s">
        <v>96</v>
      </c>
      <c r="R24" s="60">
        <v>1</v>
      </c>
      <c r="S24" s="60">
        <v>10000</v>
      </c>
      <c r="T24" s="60"/>
      <c r="U24" s="63" t="s">
        <v>318</v>
      </c>
      <c r="V24" s="64"/>
      <c r="W24" s="64"/>
      <c r="X24" s="64" t="s">
        <v>898</v>
      </c>
      <c r="Y24" s="62"/>
    </row>
    <row r="25" spans="1:25" s="57" customFormat="1" ht="105.6" customHeight="1" x14ac:dyDescent="0.25">
      <c r="A25" s="126">
        <f t="shared" si="33"/>
        <v>5</v>
      </c>
      <c r="B25" s="126">
        <f t="shared" si="28"/>
        <v>3</v>
      </c>
      <c r="C25" s="129" t="str">
        <f t="shared" si="29"/>
        <v>e</v>
      </c>
      <c r="D25" s="126" t="str">
        <f t="shared" si="23"/>
        <v>5-3e</v>
      </c>
      <c r="E25" s="59" t="s">
        <v>106</v>
      </c>
      <c r="F25" s="59" t="s">
        <v>15</v>
      </c>
      <c r="G25" s="60" t="str">
        <f t="shared" si="30"/>
        <v>Table G3.1 Section 5b</v>
      </c>
      <c r="H25" s="59" t="str">
        <f t="shared" si="31"/>
        <v>Baseline below-grade walls shall conform with assemblies detailed in Appendix A Concrete block, A4) and shall match the appropriate assembly maximum C-factors in Tables G3.4-1 through G3.4-8</v>
      </c>
      <c r="I25" s="59" t="str">
        <f>I24</f>
        <v>Baseline RMR Surface:C_factor = expected value</v>
      </c>
      <c r="J25" s="59" t="str">
        <f t="shared" si="32"/>
        <v>Baseline space conditioning category (conditioned, semiheated, unconditioned), residential vs non-residential occupancy type and surface type (wall vs floor vs roof) are determined correctly</v>
      </c>
      <c r="K25" s="59" t="s">
        <v>187</v>
      </c>
      <c r="L25" s="57" t="str">
        <f t="shared" si="27"/>
        <v>Surface</v>
      </c>
      <c r="M25" s="61" t="s">
        <v>323</v>
      </c>
      <c r="N25" s="61" t="s">
        <v>112</v>
      </c>
      <c r="O25" s="62" t="s">
        <v>122</v>
      </c>
      <c r="P25" s="59" t="s">
        <v>324</v>
      </c>
      <c r="Q25" s="60" t="s">
        <v>96</v>
      </c>
      <c r="R25" s="60">
        <v>1</v>
      </c>
      <c r="S25" s="60">
        <v>10000</v>
      </c>
      <c r="T25" s="60"/>
      <c r="U25" s="63" t="s">
        <v>905</v>
      </c>
      <c r="V25" s="64"/>
      <c r="W25" s="64"/>
      <c r="X25" s="64" t="s">
        <v>897</v>
      </c>
      <c r="Y25" s="62"/>
    </row>
    <row r="26" spans="1:25" s="57" customFormat="1" ht="105.6" customHeight="1" x14ac:dyDescent="0.25">
      <c r="A26" s="126">
        <f t="shared" si="33"/>
        <v>5</v>
      </c>
      <c r="B26" s="126">
        <f t="shared" si="28"/>
        <v>3</v>
      </c>
      <c r="C26" s="129" t="str">
        <f t="shared" si="29"/>
        <v>f</v>
      </c>
      <c r="D26" s="126" t="str">
        <f t="shared" si="23"/>
        <v>5-3f</v>
      </c>
      <c r="E26" s="59" t="s">
        <v>106</v>
      </c>
      <c r="F26" s="59" t="s">
        <v>15</v>
      </c>
      <c r="G26" s="60" t="str">
        <f t="shared" si="30"/>
        <v>Table G3.1 Section 5b</v>
      </c>
      <c r="H26" s="59" t="str">
        <f t="shared" si="31"/>
        <v>Baseline below-grade walls shall conform with assemblies detailed in Appendix A Concrete block, A4) and shall match the appropriate assembly maximum C-factors in Tables G3.4-1 through G3.4-8</v>
      </c>
      <c r="I26" s="59" t="str">
        <f>I25</f>
        <v>Baseline RMR Surface:C_factor = expected value</v>
      </c>
      <c r="J26" s="59" t="str">
        <f t="shared" si="32"/>
        <v>Baseline space conditioning category (conditioned, semiheated, unconditioned), residential vs non-residential occupancy type and surface type (wall vs floor vs roof) are determined correctly</v>
      </c>
      <c r="K26" s="59" t="s">
        <v>187</v>
      </c>
      <c r="L26" s="57" t="str">
        <f t="shared" si="27"/>
        <v>Surface</v>
      </c>
      <c r="M26" s="61" t="s">
        <v>326</v>
      </c>
      <c r="N26" s="61" t="s">
        <v>112</v>
      </c>
      <c r="O26" s="62" t="s">
        <v>124</v>
      </c>
      <c r="P26" s="59" t="s">
        <v>329</v>
      </c>
      <c r="Q26" s="60" t="s">
        <v>96</v>
      </c>
      <c r="R26" s="60">
        <v>1</v>
      </c>
      <c r="S26" s="60">
        <v>10000</v>
      </c>
      <c r="T26" s="60"/>
      <c r="U26" s="63" t="s">
        <v>906</v>
      </c>
      <c r="V26" s="64"/>
      <c r="W26" s="64"/>
      <c r="X26" s="64" t="s">
        <v>896</v>
      </c>
      <c r="Y26" s="62"/>
    </row>
    <row r="27" spans="1:25" s="57" customFormat="1" ht="105.6" customHeight="1" x14ac:dyDescent="0.25">
      <c r="A27" s="126">
        <f t="shared" si="33"/>
        <v>5</v>
      </c>
      <c r="B27" s="126">
        <f t="shared" si="28"/>
        <v>3</v>
      </c>
      <c r="C27" s="129" t="str">
        <f t="shared" si="29"/>
        <v>g</v>
      </c>
      <c r="D27" s="126" t="str">
        <f t="shared" si="23"/>
        <v>5-3g</v>
      </c>
      <c r="E27" s="59" t="s">
        <v>106</v>
      </c>
      <c r="F27" s="59" t="s">
        <v>15</v>
      </c>
      <c r="G27" s="60" t="str">
        <f t="shared" si="30"/>
        <v>Table G3.1 Section 5b</v>
      </c>
      <c r="H27" s="59" t="str">
        <f t="shared" si="31"/>
        <v>Baseline below-grade walls shall conform with assemblies detailed in Appendix A Concrete block, A4) and shall match the appropriate assembly maximum C-factors in Tables G3.4-1 through G3.4-8</v>
      </c>
      <c r="I27" s="59" t="str">
        <f>I26</f>
        <v>Baseline RMR Surface:C_factor = expected value</v>
      </c>
      <c r="J27" s="59" t="str">
        <f t="shared" si="32"/>
        <v>Baseline space conditioning category (conditioned, semiheated, unconditioned), residential vs non-residential occupancy type and surface type (wall vs floor vs roof) are determined correctly</v>
      </c>
      <c r="K27" s="59" t="s">
        <v>187</v>
      </c>
      <c r="L27" s="57" t="str">
        <f t="shared" si="27"/>
        <v>Surface</v>
      </c>
      <c r="M27" s="61" t="s">
        <v>327</v>
      </c>
      <c r="N27" s="61" t="s">
        <v>112</v>
      </c>
      <c r="O27" s="62" t="s">
        <v>124</v>
      </c>
      <c r="P27" s="59" t="s">
        <v>895</v>
      </c>
      <c r="Q27" s="60" t="s">
        <v>96</v>
      </c>
      <c r="R27" s="60">
        <v>1</v>
      </c>
      <c r="S27" s="60">
        <v>10000</v>
      </c>
      <c r="T27" s="60"/>
      <c r="U27" s="63" t="s">
        <v>904</v>
      </c>
      <c r="V27" s="64"/>
      <c r="W27" s="64"/>
      <c r="X27" s="64" t="s">
        <v>894</v>
      </c>
      <c r="Y27" s="62"/>
    </row>
    <row r="28" spans="1:25" s="57" customFormat="1" ht="105.6" customHeight="1" x14ac:dyDescent="0.25">
      <c r="A28" s="126">
        <f t="shared" si="33"/>
        <v>5</v>
      </c>
      <c r="B28" s="126">
        <f t="shared" si="28"/>
        <v>3</v>
      </c>
      <c r="C28" s="129" t="str">
        <f t="shared" si="29"/>
        <v>h</v>
      </c>
      <c r="D28" s="126" t="str">
        <f t="shared" si="23"/>
        <v>5-3h</v>
      </c>
      <c r="E28" s="59" t="s">
        <v>106</v>
      </c>
      <c r="F28" s="59" t="s">
        <v>15</v>
      </c>
      <c r="G28" s="60" t="str">
        <f t="shared" si="30"/>
        <v>Table G3.1 Section 5b</v>
      </c>
      <c r="H28" s="59" t="str">
        <f t="shared" si="31"/>
        <v>Baseline below-grade walls shall conform with assemblies detailed in Appendix A Concrete block, A4) and shall match the appropriate assembly maximum C-factors in Tables G3.4-1 through G3.4-8</v>
      </c>
      <c r="I28" s="59" t="s">
        <v>885</v>
      </c>
      <c r="J28" s="59" t="str">
        <f t="shared" si="32"/>
        <v>Baseline space conditioning category (conditioned, semiheated, unconditioned), residential vs non-residential occupancy type and surface type (wall vs floor vs roof) are determined correctly</v>
      </c>
      <c r="K28" s="59" t="s">
        <v>187</v>
      </c>
      <c r="L28" s="57" t="str">
        <f t="shared" si="27"/>
        <v>Surface</v>
      </c>
      <c r="M28" s="61" t="s">
        <v>889</v>
      </c>
      <c r="N28" s="61" t="s">
        <v>112</v>
      </c>
      <c r="O28" s="62" t="s">
        <v>122</v>
      </c>
      <c r="P28" s="59" t="s">
        <v>890</v>
      </c>
      <c r="Q28" s="60" t="s">
        <v>96</v>
      </c>
      <c r="R28" s="60">
        <v>1</v>
      </c>
      <c r="S28" s="60">
        <v>10000</v>
      </c>
      <c r="T28" s="60"/>
      <c r="U28" s="63" t="s">
        <v>907</v>
      </c>
      <c r="V28" s="64" t="s">
        <v>892</v>
      </c>
      <c r="W28" s="64"/>
      <c r="X28" s="64" t="s">
        <v>892</v>
      </c>
      <c r="Y28" s="62"/>
    </row>
    <row r="29" spans="1:25" s="57" customFormat="1" ht="90.6" customHeight="1" x14ac:dyDescent="0.25">
      <c r="A29" s="126">
        <f t="shared" si="33"/>
        <v>5</v>
      </c>
      <c r="B29" s="126">
        <f t="shared" si="28"/>
        <v>3</v>
      </c>
      <c r="C29" s="129" t="str">
        <f t="shared" si="29"/>
        <v>i</v>
      </c>
      <c r="D29" s="126" t="str">
        <f t="shared" ref="D29:D37" si="34">A29&amp;"-"&amp;B29&amp;C29</f>
        <v>5-3i</v>
      </c>
      <c r="E29" s="59" t="s">
        <v>106</v>
      </c>
      <c r="F29" s="59" t="s">
        <v>15</v>
      </c>
      <c r="G29" s="60" t="str">
        <f t="shared" si="30"/>
        <v>Table G3.1 Section 5b</v>
      </c>
      <c r="H29" s="59" t="str">
        <f t="shared" si="31"/>
        <v>Baseline below-grade walls shall conform with assemblies detailed in Appendix A Concrete block, A4) and shall match the appropriate assembly maximum C-factors in Tables G3.4-1 through G3.4-8</v>
      </c>
      <c r="I29" s="59" t="s">
        <v>885</v>
      </c>
      <c r="J29" s="59" t="str">
        <f t="shared" si="32"/>
        <v>Baseline space conditioning category (conditioned, semiheated, unconditioned), residential vs non-residential occupancy type and surface type (wall vs floor vs roof) are determined correctly</v>
      </c>
      <c r="K29" s="59" t="s">
        <v>187</v>
      </c>
      <c r="L29" s="57" t="str">
        <f t="shared" si="27"/>
        <v>Surface</v>
      </c>
      <c r="M29" s="61" t="s">
        <v>891</v>
      </c>
      <c r="N29" s="61" t="s">
        <v>112</v>
      </c>
      <c r="O29" s="62" t="s">
        <v>124</v>
      </c>
      <c r="P29" s="59" t="s">
        <v>328</v>
      </c>
      <c r="Q29" s="60" t="s">
        <v>96</v>
      </c>
      <c r="R29" s="60">
        <v>1</v>
      </c>
      <c r="S29" s="60">
        <v>10000</v>
      </c>
      <c r="T29" s="60"/>
      <c r="U29" s="63" t="s">
        <v>907</v>
      </c>
      <c r="V29" s="64" t="s">
        <v>892</v>
      </c>
      <c r="W29" s="64"/>
      <c r="X29" s="64" t="s">
        <v>893</v>
      </c>
      <c r="Y29" s="62"/>
    </row>
    <row r="30" spans="1:25" s="57" customFormat="1" ht="90.6" customHeight="1" x14ac:dyDescent="0.25">
      <c r="A30" s="126">
        <f t="shared" si="33"/>
        <v>5</v>
      </c>
      <c r="B30" s="126">
        <f t="shared" si="28"/>
        <v>3</v>
      </c>
      <c r="C30" s="129" t="str">
        <f t="shared" si="29"/>
        <v>j</v>
      </c>
      <c r="D30" s="126" t="str">
        <f t="shared" ref="D30" si="35">A30&amp;"-"&amp;B30&amp;C30</f>
        <v>5-3j</v>
      </c>
      <c r="E30" s="59" t="s">
        <v>106</v>
      </c>
      <c r="F30" s="59" t="s">
        <v>15</v>
      </c>
      <c r="G30" s="60" t="str">
        <f t="shared" si="30"/>
        <v>Table G3.1 Section 5b</v>
      </c>
      <c r="H30" s="59" t="s">
        <v>908</v>
      </c>
      <c r="I30" s="59" t="s">
        <v>909</v>
      </c>
      <c r="J30" s="59" t="s">
        <v>157</v>
      </c>
      <c r="K30" s="59" t="s">
        <v>187</v>
      </c>
      <c r="L30" s="57" t="str">
        <f>L29</f>
        <v>Surface</v>
      </c>
      <c r="M30" s="61" t="s">
        <v>915</v>
      </c>
      <c r="N30" s="61" t="s">
        <v>431</v>
      </c>
      <c r="O30" s="62" t="s">
        <v>122</v>
      </c>
      <c r="P30" s="59" t="s">
        <v>914</v>
      </c>
      <c r="Q30" s="60" t="s">
        <v>96</v>
      </c>
      <c r="R30" s="60">
        <v>1</v>
      </c>
      <c r="S30" s="60">
        <v>10000</v>
      </c>
      <c r="T30" s="60"/>
      <c r="U30" s="63" t="s">
        <v>916</v>
      </c>
      <c r="V30" s="64" t="s">
        <v>903</v>
      </c>
      <c r="W30" s="64" t="s">
        <v>903</v>
      </c>
      <c r="X30" s="64"/>
      <c r="Y30" s="62"/>
    </row>
    <row r="31" spans="1:25" s="52" customFormat="1" ht="99" customHeight="1" x14ac:dyDescent="0.25">
      <c r="A31" s="127">
        <f>A29</f>
        <v>5</v>
      </c>
      <c r="B31" s="127">
        <v>4</v>
      </c>
      <c r="C31" s="128" t="s">
        <v>110</v>
      </c>
      <c r="D31" s="127" t="str">
        <f t="shared" si="34"/>
        <v>5-4a</v>
      </c>
      <c r="E31" s="21" t="s">
        <v>106</v>
      </c>
      <c r="F31" s="21" t="s">
        <v>15</v>
      </c>
      <c r="G31" s="23" t="str">
        <f>'Appendix G Envelope Rules'!I4</f>
        <v>Table G3.1 Section 5b</v>
      </c>
      <c r="H31" s="21" t="s">
        <v>910</v>
      </c>
      <c r="I31" s="21" t="s">
        <v>185</v>
      </c>
      <c r="J31" s="21" t="str">
        <f>'Appendix G Envelope Rules'!N5</f>
        <v>Baseline space conditioning category (conditioned, semiheated, unconditioned), residential vs non-residential occupancy type and surface type (wall vs floor vs roof) are determined correctly</v>
      </c>
      <c r="K31" s="21" t="s">
        <v>187</v>
      </c>
      <c r="L31" s="52" t="str">
        <f>L29</f>
        <v>Surface</v>
      </c>
      <c r="M31" s="22" t="s">
        <v>332</v>
      </c>
      <c r="N31" s="22" t="s">
        <v>112</v>
      </c>
      <c r="O31" s="24" t="s">
        <v>122</v>
      </c>
      <c r="P31" s="21" t="s">
        <v>333</v>
      </c>
      <c r="Q31" s="23" t="s">
        <v>96</v>
      </c>
      <c r="R31" s="23">
        <v>1</v>
      </c>
      <c r="S31" s="23">
        <v>10000</v>
      </c>
      <c r="T31" s="23"/>
      <c r="U31" s="53" t="s">
        <v>191</v>
      </c>
      <c r="V31" s="32"/>
      <c r="W31" s="32"/>
      <c r="X31" s="32" t="s">
        <v>917</v>
      </c>
      <c r="Y31" s="24"/>
    </row>
    <row r="32" spans="1:25" s="52" customFormat="1" ht="99" customHeight="1" x14ac:dyDescent="0.25">
      <c r="A32" s="127">
        <f t="shared" si="33"/>
        <v>5</v>
      </c>
      <c r="B32" s="127">
        <f>B31</f>
        <v>4</v>
      </c>
      <c r="C32" s="128" t="str">
        <f>CHAR(CODE(C31)+1)</f>
        <v>b</v>
      </c>
      <c r="D32" s="127" t="str">
        <f t="shared" si="34"/>
        <v>5-4b</v>
      </c>
      <c r="E32" s="21" t="s">
        <v>106</v>
      </c>
      <c r="F32" s="21" t="s">
        <v>15</v>
      </c>
      <c r="G32" s="23" t="str">
        <f>G31</f>
        <v>Table G3.1 Section 5b</v>
      </c>
      <c r="H32" s="21" t="str">
        <f>H31</f>
        <v>Baseline above-grade wall assemblies must conform with assemblies detailed in  Appendix A (Steel-framed A3.3) and match the appropriate assembly maximum U-factors in Tables G3.4-1 through G3.4-8</v>
      </c>
      <c r="I32" s="21" t="s">
        <v>185</v>
      </c>
      <c r="J32" s="21" t="str">
        <f>J31</f>
        <v>Baseline space conditioning category (conditioned, semiheated, unconditioned), residential vs non-residential occupancy type and surface type (wall vs floor vs roof) are determined correctly</v>
      </c>
      <c r="K32" s="21" t="s">
        <v>187</v>
      </c>
      <c r="L32" s="52" t="str">
        <f>L31</f>
        <v>Surface</v>
      </c>
      <c r="M32" s="22" t="s">
        <v>334</v>
      </c>
      <c r="N32" s="22" t="s">
        <v>112</v>
      </c>
      <c r="O32" s="24" t="s">
        <v>122</v>
      </c>
      <c r="P32" s="21" t="s">
        <v>333</v>
      </c>
      <c r="Q32" s="23" t="s">
        <v>96</v>
      </c>
      <c r="R32" s="23">
        <v>1</v>
      </c>
      <c r="S32" s="23">
        <v>10000</v>
      </c>
      <c r="T32" s="23"/>
      <c r="U32" s="53" t="s">
        <v>191</v>
      </c>
      <c r="V32" s="32"/>
      <c r="W32" s="32"/>
      <c r="X32" s="32" t="s">
        <v>918</v>
      </c>
      <c r="Y32" s="24"/>
    </row>
    <row r="33" spans="1:25" s="52" customFormat="1" ht="92.4" customHeight="1" x14ac:dyDescent="0.25">
      <c r="A33" s="127">
        <f>A31</f>
        <v>5</v>
      </c>
      <c r="B33" s="127">
        <f t="shared" ref="B33:B37" si="36">B32</f>
        <v>4</v>
      </c>
      <c r="C33" s="128" t="str">
        <f t="shared" ref="C33:C37" si="37">CHAR(CODE(C32)+1)</f>
        <v>c</v>
      </c>
      <c r="D33" s="127" t="str">
        <f t="shared" si="34"/>
        <v>5-4c</v>
      </c>
      <c r="E33" s="21" t="s">
        <v>106</v>
      </c>
      <c r="F33" s="21" t="s">
        <v>15</v>
      </c>
      <c r="G33" s="23" t="str">
        <f>G32</f>
        <v>Table G3.1 Section 5b</v>
      </c>
      <c r="H33" s="21" t="str">
        <f t="shared" ref="H33:H37" si="38">H32</f>
        <v>Baseline above-grade wall assemblies must conform with assemblies detailed in  Appendix A (Steel-framed A3.3) and match the appropriate assembly maximum U-factors in Tables G3.4-1 through G3.4-8</v>
      </c>
      <c r="I33" s="21" t="s">
        <v>185</v>
      </c>
      <c r="J33" s="21" t="str">
        <f t="shared" ref="J33:J37" si="39">J32</f>
        <v>Baseline space conditioning category (conditioned, semiheated, unconditioned), residential vs non-residential occupancy type and surface type (wall vs floor vs roof) are determined correctly</v>
      </c>
      <c r="K33" s="21" t="s">
        <v>187</v>
      </c>
      <c r="L33" s="52" t="str">
        <f t="shared" ref="L33:L37" si="40">L32</f>
        <v>Surface</v>
      </c>
      <c r="M33" s="22" t="s">
        <v>335</v>
      </c>
      <c r="N33" s="22" t="s">
        <v>112</v>
      </c>
      <c r="O33" s="24" t="s">
        <v>124</v>
      </c>
      <c r="P33" s="21" t="s">
        <v>919</v>
      </c>
      <c r="Q33" s="23" t="s">
        <v>96</v>
      </c>
      <c r="R33" s="23">
        <v>1</v>
      </c>
      <c r="S33" s="23">
        <v>10000</v>
      </c>
      <c r="T33" s="23"/>
      <c r="U33" s="53" t="s">
        <v>191</v>
      </c>
      <c r="V33" s="32"/>
      <c r="W33" s="32"/>
      <c r="X33" s="32" t="s">
        <v>920</v>
      </c>
      <c r="Y33" s="24"/>
    </row>
    <row r="34" spans="1:25" s="52" customFormat="1" ht="142.80000000000001" customHeight="1" x14ac:dyDescent="0.25">
      <c r="A34" s="127">
        <f t="shared" ref="A34:A37" si="41">A33</f>
        <v>5</v>
      </c>
      <c r="B34" s="127">
        <f t="shared" si="36"/>
        <v>4</v>
      </c>
      <c r="C34" s="128" t="str">
        <f t="shared" si="37"/>
        <v>d</v>
      </c>
      <c r="D34" s="127" t="str">
        <f t="shared" si="34"/>
        <v>5-4d</v>
      </c>
      <c r="E34" s="21" t="s">
        <v>106</v>
      </c>
      <c r="F34" s="21" t="s">
        <v>15</v>
      </c>
      <c r="G34" s="23" t="str">
        <f>G33</f>
        <v>Table G3.1 Section 5b</v>
      </c>
      <c r="H34" s="21" t="str">
        <f t="shared" si="38"/>
        <v>Baseline above-grade wall assemblies must conform with assemblies detailed in  Appendix A (Steel-framed A3.3) and match the appropriate assembly maximum U-factors in Tables G3.4-1 through G3.4-8</v>
      </c>
      <c r="I34" s="21" t="s">
        <v>185</v>
      </c>
      <c r="J34" s="21" t="str">
        <f t="shared" si="39"/>
        <v>Baseline space conditioning category (conditioned, semiheated, unconditioned), residential vs non-residential occupancy type and surface type (wall vs floor vs roof) are determined correctly</v>
      </c>
      <c r="K34" s="21" t="s">
        <v>187</v>
      </c>
      <c r="L34" s="52" t="str">
        <f t="shared" si="40"/>
        <v>Surface</v>
      </c>
      <c r="M34" s="22" t="s">
        <v>336</v>
      </c>
      <c r="N34" s="22" t="s">
        <v>112</v>
      </c>
      <c r="O34" s="24" t="s">
        <v>122</v>
      </c>
      <c r="P34" s="21" t="s">
        <v>922</v>
      </c>
      <c r="Q34" s="23" t="s">
        <v>96</v>
      </c>
      <c r="R34" s="23">
        <v>1</v>
      </c>
      <c r="S34" s="23">
        <v>10000</v>
      </c>
      <c r="T34" s="23"/>
      <c r="U34" s="53" t="s">
        <v>191</v>
      </c>
      <c r="V34" s="32"/>
      <c r="W34" s="32"/>
      <c r="X34" s="32" t="s">
        <v>921</v>
      </c>
      <c r="Y34" s="24"/>
    </row>
    <row r="35" spans="1:25" s="52" customFormat="1" ht="142.80000000000001" customHeight="1" x14ac:dyDescent="0.25">
      <c r="A35" s="127">
        <f t="shared" si="41"/>
        <v>5</v>
      </c>
      <c r="B35" s="127">
        <f t="shared" si="36"/>
        <v>4</v>
      </c>
      <c r="C35" s="128" t="str">
        <f t="shared" si="37"/>
        <v>e</v>
      </c>
      <c r="D35" s="127" t="str">
        <f t="shared" ref="D35" si="42">A35&amp;"-"&amp;B35&amp;C35</f>
        <v>5-4e</v>
      </c>
      <c r="E35" s="21" t="s">
        <v>106</v>
      </c>
      <c r="F35" s="21" t="s">
        <v>15</v>
      </c>
      <c r="G35" s="23" t="str">
        <f>G34</f>
        <v>Table G3.1 Section 5b</v>
      </c>
      <c r="H35" s="21" t="str">
        <f t="shared" si="38"/>
        <v>Baseline above-grade wall assemblies must conform with assemblies detailed in  Appendix A (Steel-framed A3.3) and match the appropriate assembly maximum U-factors in Tables G3.4-1 through G3.4-8</v>
      </c>
      <c r="I35" s="21" t="s">
        <v>185</v>
      </c>
      <c r="J35" s="21" t="str">
        <f t="shared" ref="J35" si="43">J34</f>
        <v>Baseline space conditioning category (conditioned, semiheated, unconditioned), residential vs non-residential occupancy type and surface type (wall vs floor vs roof) are determined correctly</v>
      </c>
      <c r="K35" s="21" t="s">
        <v>187</v>
      </c>
      <c r="L35" s="52" t="str">
        <f t="shared" ref="L35" si="44">L34</f>
        <v>Surface</v>
      </c>
      <c r="M35" s="22" t="s">
        <v>926</v>
      </c>
      <c r="N35" s="22" t="s">
        <v>112</v>
      </c>
      <c r="O35" s="24" t="s">
        <v>124</v>
      </c>
      <c r="P35" s="21" t="s">
        <v>927</v>
      </c>
      <c r="Q35" s="23" t="s">
        <v>96</v>
      </c>
      <c r="R35" s="23">
        <v>1</v>
      </c>
      <c r="S35" s="23">
        <v>10000</v>
      </c>
      <c r="T35" s="23"/>
      <c r="U35" s="53" t="s">
        <v>191</v>
      </c>
      <c r="V35" s="32"/>
      <c r="W35" s="32"/>
      <c r="X35" s="32" t="s">
        <v>928</v>
      </c>
      <c r="Y35" s="24"/>
    </row>
    <row r="36" spans="1:25" s="52" customFormat="1" ht="105.6" customHeight="1" x14ac:dyDescent="0.25">
      <c r="A36" s="127">
        <f>A34</f>
        <v>5</v>
      </c>
      <c r="B36" s="127">
        <f>B34</f>
        <v>4</v>
      </c>
      <c r="C36" s="128" t="str">
        <f>CHAR(CODE(C34)+1)</f>
        <v>e</v>
      </c>
      <c r="D36" s="127" t="str">
        <f t="shared" si="34"/>
        <v>5-4e</v>
      </c>
      <c r="E36" s="21" t="s">
        <v>106</v>
      </c>
      <c r="F36" s="21" t="s">
        <v>15</v>
      </c>
      <c r="G36" s="23" t="str">
        <f>G34</f>
        <v>Table G3.1 Section 5b</v>
      </c>
      <c r="H36" s="21" t="str">
        <f>H34</f>
        <v>Baseline above-grade wall assemblies must conform with assemblies detailed in  Appendix A (Steel-framed A3.3) and match the appropriate assembly maximum U-factors in Tables G3.4-1 through G3.4-8</v>
      </c>
      <c r="I36" s="21" t="s">
        <v>185</v>
      </c>
      <c r="J36" s="21" t="str">
        <f>J34</f>
        <v>Baseline space conditioning category (conditioned, semiheated, unconditioned), residential vs non-residential occupancy type and surface type (wall vs floor vs roof) are determined correctly</v>
      </c>
      <c r="K36" s="21" t="s">
        <v>187</v>
      </c>
      <c r="L36" s="52" t="str">
        <f>L34</f>
        <v>Surface</v>
      </c>
      <c r="M36" s="22" t="s">
        <v>929</v>
      </c>
      <c r="N36" s="22" t="s">
        <v>112</v>
      </c>
      <c r="O36" s="24" t="s">
        <v>122</v>
      </c>
      <c r="P36" s="21" t="s">
        <v>923</v>
      </c>
      <c r="Q36" s="23" t="s">
        <v>96</v>
      </c>
      <c r="R36" s="23">
        <v>1</v>
      </c>
      <c r="S36" s="23">
        <v>10000</v>
      </c>
      <c r="T36" s="23"/>
      <c r="U36" s="53" t="s">
        <v>309</v>
      </c>
      <c r="V36" s="32"/>
      <c r="W36" s="32"/>
      <c r="X36" s="32" t="s">
        <v>924</v>
      </c>
      <c r="Y36" s="24"/>
    </row>
    <row r="37" spans="1:25" s="52" customFormat="1" ht="105.6" customHeight="1" x14ac:dyDescent="0.25">
      <c r="A37" s="127">
        <f t="shared" si="41"/>
        <v>5</v>
      </c>
      <c r="B37" s="127">
        <f t="shared" si="36"/>
        <v>4</v>
      </c>
      <c r="C37" s="128" t="str">
        <f t="shared" si="37"/>
        <v>f</v>
      </c>
      <c r="D37" s="127" t="str">
        <f t="shared" si="34"/>
        <v>5-4f</v>
      </c>
      <c r="E37" s="21" t="s">
        <v>106</v>
      </c>
      <c r="F37" s="21" t="s">
        <v>15</v>
      </c>
      <c r="G37" s="23" t="str">
        <f>G36</f>
        <v>Table G3.1 Section 5b</v>
      </c>
      <c r="H37" s="21" t="str">
        <f t="shared" si="38"/>
        <v>Baseline above-grade wall assemblies must conform with assemblies detailed in  Appendix A (Steel-framed A3.3) and match the appropriate assembly maximum U-factors in Tables G3.4-1 through G3.4-8</v>
      </c>
      <c r="I37" s="21" t="s">
        <v>185</v>
      </c>
      <c r="J37" s="21" t="str">
        <f t="shared" si="39"/>
        <v>Baseline space conditioning category (conditioned, semiheated, unconditioned), residential vs non-residential occupancy type and surface type (wall vs floor vs roof) are determined correctly</v>
      </c>
      <c r="K37" s="21" t="s">
        <v>187</v>
      </c>
      <c r="L37" s="52" t="str">
        <f t="shared" si="40"/>
        <v>Surface</v>
      </c>
      <c r="M37" s="22" t="s">
        <v>930</v>
      </c>
      <c r="N37" s="22" t="s">
        <v>112</v>
      </c>
      <c r="O37" s="24" t="s">
        <v>124</v>
      </c>
      <c r="P37" s="21" t="s">
        <v>923</v>
      </c>
      <c r="Q37" s="23" t="s">
        <v>96</v>
      </c>
      <c r="R37" s="23">
        <v>1</v>
      </c>
      <c r="S37" s="23">
        <v>10000</v>
      </c>
      <c r="T37" s="23"/>
      <c r="U37" s="53" t="s">
        <v>309</v>
      </c>
      <c r="V37" s="32"/>
      <c r="W37" s="32"/>
      <c r="X37" s="32" t="s">
        <v>925</v>
      </c>
      <c r="Y37" s="24"/>
    </row>
    <row r="38" spans="1:25" s="57" customFormat="1" ht="99" customHeight="1" x14ac:dyDescent="0.25">
      <c r="A38" s="126">
        <v>5</v>
      </c>
      <c r="B38" s="126">
        <v>5</v>
      </c>
      <c r="C38" s="129" t="s">
        <v>110</v>
      </c>
      <c r="D38" s="126" t="str">
        <f t="shared" ref="D38:D43" si="45">A38&amp;"-"&amp;B38&amp;C38</f>
        <v>5-5a</v>
      </c>
      <c r="E38" s="59" t="s">
        <v>106</v>
      </c>
      <c r="F38" s="59" t="s">
        <v>15</v>
      </c>
      <c r="G38" s="60" t="str">
        <f>'Appendix G Envelope Rules'!I23</f>
        <v>Table G3.1 Section 5 baseline column</v>
      </c>
      <c r="H38" s="59" t="s">
        <v>932</v>
      </c>
      <c r="I38" s="59" t="s">
        <v>185</v>
      </c>
      <c r="J38" s="59" t="str">
        <f>'Appendix G Envelope Rules'!N6</f>
        <v>Baseline space conditioning category (conditioned, semiheated, unconditioned), residential vs non-residential occupancy type and surface type (wall vs floor vs roof) are determined correctly</v>
      </c>
      <c r="K38" s="59" t="s">
        <v>187</v>
      </c>
      <c r="L38" s="57" t="str">
        <f>L37</f>
        <v>Surface</v>
      </c>
      <c r="M38" s="61" t="s">
        <v>364</v>
      </c>
      <c r="N38" s="61" t="s">
        <v>112</v>
      </c>
      <c r="O38" s="62" t="s">
        <v>122</v>
      </c>
      <c r="P38" s="59" t="s">
        <v>365</v>
      </c>
      <c r="Q38" s="60" t="s">
        <v>96</v>
      </c>
      <c r="R38" s="60">
        <v>1</v>
      </c>
      <c r="S38" s="60">
        <v>10000</v>
      </c>
      <c r="T38" s="60"/>
      <c r="U38" s="63" t="s">
        <v>191</v>
      </c>
      <c r="V38" s="64"/>
      <c r="W38" s="64"/>
      <c r="X38" s="64" t="s">
        <v>363</v>
      </c>
      <c r="Y38" s="62"/>
    </row>
    <row r="39" spans="1:25" s="57" customFormat="1" ht="99" customHeight="1" x14ac:dyDescent="0.25">
      <c r="A39" s="126">
        <f t="shared" ref="A39" si="46">A38</f>
        <v>5</v>
      </c>
      <c r="B39" s="126">
        <f>B38</f>
        <v>5</v>
      </c>
      <c r="C39" s="129" t="str">
        <f t="shared" ref="C39:C43" si="47">CHAR(CODE(C38)+1)</f>
        <v>b</v>
      </c>
      <c r="D39" s="126" t="str">
        <f t="shared" si="45"/>
        <v>5-5b</v>
      </c>
      <c r="E39" s="59" t="s">
        <v>106</v>
      </c>
      <c r="F39" s="59" t="s">
        <v>15</v>
      </c>
      <c r="G39" s="60" t="e">
        <f>'Appendix G Envelope Rules'!#REF!</f>
        <v>#REF!</v>
      </c>
      <c r="H39" s="59" t="str">
        <f>H38</f>
        <v>Baseline floor assemblies must conform with assemblies detailed in  Appendix A (Floors—Steel-joist (A5.3)) and match the appropriate assembly maximum U-factors in Tables G3.4-1 through G3.4-8</v>
      </c>
      <c r="I39" s="59" t="s">
        <v>185</v>
      </c>
      <c r="J39" s="59" t="str">
        <f>J38</f>
        <v>Baseline space conditioning category (conditioned, semiheated, unconditioned), residential vs non-residential occupancy type and surface type (wall vs floor vs roof) are determined correctly</v>
      </c>
      <c r="K39" s="59" t="s">
        <v>187</v>
      </c>
      <c r="L39" s="57" t="str">
        <f t="shared" ref="L39:L43" si="48">L38</f>
        <v>Surface</v>
      </c>
      <c r="M39" s="61" t="s">
        <v>366</v>
      </c>
      <c r="N39" s="61" t="s">
        <v>112</v>
      </c>
      <c r="O39" s="62" t="s">
        <v>122</v>
      </c>
      <c r="P39" s="59" t="s">
        <v>365</v>
      </c>
      <c r="Q39" s="60" t="s">
        <v>96</v>
      </c>
      <c r="R39" s="60">
        <v>1</v>
      </c>
      <c r="S39" s="60">
        <v>10000</v>
      </c>
      <c r="T39" s="60"/>
      <c r="U39" s="63" t="s">
        <v>191</v>
      </c>
      <c r="V39" s="64"/>
      <c r="W39" s="64"/>
      <c r="X39" s="64" t="s">
        <v>367</v>
      </c>
      <c r="Y39" s="62"/>
    </row>
    <row r="40" spans="1:25" s="57" customFormat="1" ht="92.4" customHeight="1" x14ac:dyDescent="0.25">
      <c r="A40" s="126">
        <f>A38</f>
        <v>5</v>
      </c>
      <c r="B40" s="126">
        <f t="shared" ref="B40:B43" si="49">B39</f>
        <v>5</v>
      </c>
      <c r="C40" s="129" t="str">
        <f t="shared" si="47"/>
        <v>c</v>
      </c>
      <c r="D40" s="126" t="str">
        <f t="shared" si="45"/>
        <v>5-5c</v>
      </c>
      <c r="E40" s="59" t="s">
        <v>106</v>
      </c>
      <c r="F40" s="59" t="s">
        <v>15</v>
      </c>
      <c r="G40" s="60" t="e">
        <f>'Appendix G Envelope Rules'!#REF!</f>
        <v>#REF!</v>
      </c>
      <c r="H40" s="59" t="str">
        <f t="shared" ref="H40:H43" si="50">H39</f>
        <v>Baseline floor assemblies must conform with assemblies detailed in  Appendix A (Floors—Steel-joist (A5.3)) and match the appropriate assembly maximum U-factors in Tables G3.4-1 through G3.4-8</v>
      </c>
      <c r="I40" s="59" t="s">
        <v>185</v>
      </c>
      <c r="J40" s="59" t="str">
        <f t="shared" ref="J40:J43" si="51">J39</f>
        <v>Baseline space conditioning category (conditioned, semiheated, unconditioned), residential vs non-residential occupancy type and surface type (wall vs floor vs roof) are determined correctly</v>
      </c>
      <c r="K40" s="59" t="s">
        <v>187</v>
      </c>
      <c r="L40" s="57" t="str">
        <f t="shared" si="48"/>
        <v>Surface</v>
      </c>
      <c r="M40" s="61" t="s">
        <v>368</v>
      </c>
      <c r="N40" s="61" t="s">
        <v>112</v>
      </c>
      <c r="O40" s="62" t="s">
        <v>124</v>
      </c>
      <c r="P40" s="59" t="s">
        <v>369</v>
      </c>
      <c r="Q40" s="60" t="s">
        <v>96</v>
      </c>
      <c r="R40" s="60">
        <v>1</v>
      </c>
      <c r="S40" s="60">
        <v>10000</v>
      </c>
      <c r="T40" s="60"/>
      <c r="U40" s="63" t="s">
        <v>191</v>
      </c>
      <c r="V40" s="64"/>
      <c r="W40" s="64"/>
      <c r="X40" s="64" t="s">
        <v>370</v>
      </c>
      <c r="Y40" s="62"/>
    </row>
    <row r="41" spans="1:25" s="57" customFormat="1" ht="142.80000000000001" customHeight="1" x14ac:dyDescent="0.25">
      <c r="A41" s="126">
        <f t="shared" ref="A41:A43" si="52">A40</f>
        <v>5</v>
      </c>
      <c r="B41" s="126">
        <f t="shared" si="49"/>
        <v>5</v>
      </c>
      <c r="C41" s="129" t="str">
        <f t="shared" si="47"/>
        <v>d</v>
      </c>
      <c r="D41" s="126" t="str">
        <f t="shared" si="45"/>
        <v>5-5d</v>
      </c>
      <c r="E41" s="59" t="s">
        <v>106</v>
      </c>
      <c r="F41" s="59" t="s">
        <v>15</v>
      </c>
      <c r="G41" s="60">
        <f>'Appendix G Envelope Rules'!I25</f>
        <v>0</v>
      </c>
      <c r="H41" s="59" t="str">
        <f t="shared" si="50"/>
        <v>Baseline floor assemblies must conform with assemblies detailed in  Appendix A (Floors—Steel-joist (A5.3)) and match the appropriate assembly maximum U-factors in Tables G3.4-1 through G3.4-8</v>
      </c>
      <c r="I41" s="59" t="s">
        <v>185</v>
      </c>
      <c r="J41" s="59" t="str">
        <f t="shared" si="51"/>
        <v>Baseline space conditioning category (conditioned, semiheated, unconditioned), residential vs non-residential occupancy type and surface type (wall vs floor vs roof) are determined correctly</v>
      </c>
      <c r="K41" s="59" t="s">
        <v>187</v>
      </c>
      <c r="L41" s="57" t="str">
        <f t="shared" si="48"/>
        <v>Surface</v>
      </c>
      <c r="M41" s="61" t="s">
        <v>371</v>
      </c>
      <c r="N41" s="61" t="s">
        <v>112</v>
      </c>
      <c r="O41" s="62" t="s">
        <v>122</v>
      </c>
      <c r="P41" s="59" t="s">
        <v>372</v>
      </c>
      <c r="Q41" s="60" t="s">
        <v>96</v>
      </c>
      <c r="R41" s="60">
        <v>1</v>
      </c>
      <c r="S41" s="60">
        <v>10000</v>
      </c>
      <c r="T41" s="60"/>
      <c r="U41" s="63" t="s">
        <v>191</v>
      </c>
      <c r="V41" s="64"/>
      <c r="W41" s="64"/>
      <c r="X41" s="64" t="s">
        <v>376</v>
      </c>
      <c r="Y41" s="62"/>
    </row>
    <row r="42" spans="1:25" s="57" customFormat="1" ht="105.6" customHeight="1" x14ac:dyDescent="0.25">
      <c r="A42" s="126">
        <f t="shared" si="52"/>
        <v>5</v>
      </c>
      <c r="B42" s="126">
        <f t="shared" si="49"/>
        <v>5</v>
      </c>
      <c r="C42" s="129" t="str">
        <f t="shared" si="47"/>
        <v>e</v>
      </c>
      <c r="D42" s="126" t="str">
        <f t="shared" si="45"/>
        <v>5-5e</v>
      </c>
      <c r="E42" s="59" t="s">
        <v>106</v>
      </c>
      <c r="F42" s="59" t="s">
        <v>15</v>
      </c>
      <c r="G42" s="60">
        <f>'Appendix G Envelope Rules'!I26</f>
        <v>0</v>
      </c>
      <c r="H42" s="59" t="str">
        <f t="shared" si="50"/>
        <v>Baseline floor assemblies must conform with assemblies detailed in  Appendix A (Floors—Steel-joist (A5.3)) and match the appropriate assembly maximum U-factors in Tables G3.4-1 through G3.4-8</v>
      </c>
      <c r="I42" s="59" t="s">
        <v>185</v>
      </c>
      <c r="J42" s="59" t="str">
        <f t="shared" si="51"/>
        <v>Baseline space conditioning category (conditioned, semiheated, unconditioned), residential vs non-residential occupancy type and surface type (wall vs floor vs roof) are determined correctly</v>
      </c>
      <c r="K42" s="59" t="s">
        <v>187</v>
      </c>
      <c r="L42" s="57" t="str">
        <f t="shared" si="48"/>
        <v>Surface</v>
      </c>
      <c r="M42" s="61" t="s">
        <v>373</v>
      </c>
      <c r="N42" s="61" t="s">
        <v>112</v>
      </c>
      <c r="O42" s="62" t="s">
        <v>122</v>
      </c>
      <c r="P42" s="59" t="s">
        <v>374</v>
      </c>
      <c r="Q42" s="60" t="s">
        <v>96</v>
      </c>
      <c r="R42" s="60">
        <v>1</v>
      </c>
      <c r="S42" s="60">
        <v>10000</v>
      </c>
      <c r="T42" s="60"/>
      <c r="U42" s="63" t="s">
        <v>309</v>
      </c>
      <c r="V42" s="64"/>
      <c r="W42" s="64"/>
      <c r="X42" s="64" t="s">
        <v>379</v>
      </c>
      <c r="Y42" s="62"/>
    </row>
    <row r="43" spans="1:25" s="57" customFormat="1" ht="105.6" customHeight="1" x14ac:dyDescent="0.25">
      <c r="A43" s="126">
        <f t="shared" si="52"/>
        <v>5</v>
      </c>
      <c r="B43" s="126">
        <f t="shared" si="49"/>
        <v>5</v>
      </c>
      <c r="C43" s="129" t="str">
        <f t="shared" si="47"/>
        <v>f</v>
      </c>
      <c r="D43" s="126" t="str">
        <f t="shared" si="45"/>
        <v>5-5f</v>
      </c>
      <c r="E43" s="59" t="s">
        <v>106</v>
      </c>
      <c r="F43" s="59" t="s">
        <v>15</v>
      </c>
      <c r="G43" s="60">
        <f>'Appendix G Envelope Rules'!I27</f>
        <v>0</v>
      </c>
      <c r="H43" s="59" t="str">
        <f t="shared" si="50"/>
        <v>Baseline floor assemblies must conform with assemblies detailed in  Appendix A (Floors—Steel-joist (A5.3)) and match the appropriate assembly maximum U-factors in Tables G3.4-1 through G3.4-8</v>
      </c>
      <c r="I43" s="59" t="s">
        <v>185</v>
      </c>
      <c r="J43" s="59" t="str">
        <f t="shared" si="51"/>
        <v>Baseline space conditioning category (conditioned, semiheated, unconditioned), residential vs non-residential occupancy type and surface type (wall vs floor vs roof) are determined correctly</v>
      </c>
      <c r="K43" s="59" t="s">
        <v>187</v>
      </c>
      <c r="L43" s="57" t="str">
        <f t="shared" si="48"/>
        <v>Surface</v>
      </c>
      <c r="M43" s="61" t="s">
        <v>377</v>
      </c>
      <c r="N43" s="61" t="s">
        <v>112</v>
      </c>
      <c r="O43" s="62" t="s">
        <v>124</v>
      </c>
      <c r="P43" s="59" t="s">
        <v>375</v>
      </c>
      <c r="Q43" s="60" t="s">
        <v>96</v>
      </c>
      <c r="R43" s="60">
        <v>1</v>
      </c>
      <c r="S43" s="60">
        <v>10000</v>
      </c>
      <c r="T43" s="60"/>
      <c r="U43" s="63" t="s">
        <v>309</v>
      </c>
      <c r="V43" s="64"/>
      <c r="W43" s="64"/>
      <c r="X43" s="64" t="s">
        <v>378</v>
      </c>
      <c r="Y43" s="62"/>
    </row>
    <row r="44" spans="1:25" s="52" customFormat="1" ht="99" customHeight="1" x14ac:dyDescent="0.25">
      <c r="A44" s="127">
        <v>5</v>
      </c>
      <c r="B44" s="127">
        <v>6</v>
      </c>
      <c r="C44" s="128" t="s">
        <v>110</v>
      </c>
      <c r="D44" s="127" t="str">
        <f t="shared" ref="D44:D55" si="53">A44&amp;"-"&amp;B44&amp;C44</f>
        <v>5-6a</v>
      </c>
      <c r="E44" s="21" t="s">
        <v>106</v>
      </c>
      <c r="F44" s="21" t="s">
        <v>15</v>
      </c>
      <c r="G44" s="23">
        <f>'Appendix G Envelope Rules'!I32</f>
        <v>0</v>
      </c>
      <c r="H44" s="21" t="s">
        <v>962</v>
      </c>
      <c r="I44" s="21" t="s">
        <v>963</v>
      </c>
      <c r="J44" s="21" t="str">
        <f>'Appendix G Envelope Rules'!N7</f>
        <v>Baseline space conditioning category (conditioned, semiheated, unconditioned), residential vs non-residential occupancy type and surface type (wall vs floor vs roof) are determined correctly</v>
      </c>
      <c r="K44" s="21" t="s">
        <v>187</v>
      </c>
      <c r="L44" s="52" t="s">
        <v>144</v>
      </c>
      <c r="M44" s="22" t="s">
        <v>380</v>
      </c>
      <c r="N44" s="22" t="s">
        <v>112</v>
      </c>
      <c r="O44" s="24" t="s">
        <v>122</v>
      </c>
      <c r="P44" s="21" t="s">
        <v>381</v>
      </c>
      <c r="Q44" s="23" t="s">
        <v>96</v>
      </c>
      <c r="R44" s="23">
        <v>1</v>
      </c>
      <c r="S44" s="23">
        <v>10000</v>
      </c>
      <c r="T44" s="23"/>
      <c r="U44" s="53" t="s">
        <v>382</v>
      </c>
      <c r="V44" s="32"/>
      <c r="W44" s="32"/>
      <c r="X44" s="32" t="s">
        <v>384</v>
      </c>
      <c r="Y44" s="24"/>
    </row>
    <row r="45" spans="1:25" s="52" customFormat="1" ht="99" customHeight="1" x14ac:dyDescent="0.25">
      <c r="A45" s="127">
        <f t="shared" ref="A45" si="54">A44</f>
        <v>5</v>
      </c>
      <c r="B45" s="127">
        <f>B44</f>
        <v>6</v>
      </c>
      <c r="C45" s="128" t="str">
        <f t="shared" ref="C45:C54" si="55">CHAR(CODE(C44)+1)</f>
        <v>b</v>
      </c>
      <c r="D45" s="127" t="str">
        <f t="shared" si="53"/>
        <v>5-6b</v>
      </c>
      <c r="E45" s="21" t="s">
        <v>106</v>
      </c>
      <c r="F45" s="21" t="s">
        <v>15</v>
      </c>
      <c r="G45" s="23">
        <f>'Appendix G Envelope Rules'!I33</f>
        <v>0</v>
      </c>
      <c r="H45" s="21" t="str">
        <f>H44</f>
        <v>Baseline floor assemblies must conform with assemblies detailed in Appendix A ( Slab-on-grade floors shall match the F-factor for unheated slabs from the same tables (A6).) and match the appropriate assembly maximum U-factors in Tables G3.4-1 through G3.4-8</v>
      </c>
      <c r="I45" s="21" t="str">
        <f>I44</f>
        <v>Baseline RMR Surface:F_factor = expected value</v>
      </c>
      <c r="J45" s="21" t="str">
        <f>J44</f>
        <v>Baseline space conditioning category (conditioned, semiheated, unconditioned), residential vs non-residential occupancy type and surface type (wall vs floor vs roof) are determined correctly</v>
      </c>
      <c r="K45" s="21" t="s">
        <v>187</v>
      </c>
      <c r="L45" s="52" t="s">
        <v>144</v>
      </c>
      <c r="M45" s="22" t="s">
        <v>933</v>
      </c>
      <c r="N45" s="22" t="s">
        <v>112</v>
      </c>
      <c r="O45" s="24" t="s">
        <v>122</v>
      </c>
      <c r="P45" s="21" t="s">
        <v>381</v>
      </c>
      <c r="Q45" s="23" t="s">
        <v>96</v>
      </c>
      <c r="R45" s="23">
        <v>1</v>
      </c>
      <c r="S45" s="23">
        <v>10000</v>
      </c>
      <c r="T45" s="23"/>
      <c r="U45" s="53" t="s">
        <v>382</v>
      </c>
      <c r="V45" s="32"/>
      <c r="W45" s="32"/>
      <c r="X45" s="32" t="s">
        <v>385</v>
      </c>
      <c r="Y45" s="24"/>
    </row>
    <row r="46" spans="1:25" s="52" customFormat="1" ht="92.4" customHeight="1" x14ac:dyDescent="0.25">
      <c r="A46" s="127">
        <f>A44</f>
        <v>5</v>
      </c>
      <c r="B46" s="127">
        <f t="shared" ref="B46:B54" si="56">B45</f>
        <v>6</v>
      </c>
      <c r="C46" s="128" t="str">
        <f t="shared" si="55"/>
        <v>c</v>
      </c>
      <c r="D46" s="127" t="str">
        <f t="shared" si="53"/>
        <v>5-6c</v>
      </c>
      <c r="E46" s="21" t="s">
        <v>106</v>
      </c>
      <c r="F46" s="21" t="s">
        <v>15</v>
      </c>
      <c r="G46" s="23">
        <f>'Appendix G Envelope Rules'!I33</f>
        <v>0</v>
      </c>
      <c r="H46" s="21" t="str">
        <f t="shared" ref="H46:H53" si="57">H45</f>
        <v>Baseline floor assemblies must conform with assemblies detailed in Appendix A ( Slab-on-grade floors shall match the F-factor for unheated slabs from the same tables (A6).) and match the appropriate assembly maximum U-factors in Tables G3.4-1 through G3.4-8</v>
      </c>
      <c r="I46" s="21" t="str">
        <f t="shared" ref="I46:J53" si="58">I45</f>
        <v>Baseline RMR Surface:F_factor = expected value</v>
      </c>
      <c r="J46" s="21" t="str">
        <f t="shared" si="58"/>
        <v>Baseline space conditioning category (conditioned, semiheated, unconditioned), residential vs non-residential occupancy type and surface type (wall vs floor vs roof) are determined correctly</v>
      </c>
      <c r="K46" s="21" t="s">
        <v>187</v>
      </c>
      <c r="L46" s="52" t="s">
        <v>144</v>
      </c>
      <c r="M46" s="22" t="s">
        <v>936</v>
      </c>
      <c r="N46" s="22" t="s">
        <v>112</v>
      </c>
      <c r="O46" s="24" t="s">
        <v>124</v>
      </c>
      <c r="P46" s="21" t="s">
        <v>934</v>
      </c>
      <c r="Q46" s="23" t="s">
        <v>96</v>
      </c>
      <c r="R46" s="23">
        <v>1</v>
      </c>
      <c r="S46" s="23">
        <v>10000</v>
      </c>
      <c r="T46" s="23"/>
      <c r="U46" s="53" t="s">
        <v>382</v>
      </c>
      <c r="V46" s="32"/>
      <c r="W46" s="32"/>
      <c r="X46" s="32" t="s">
        <v>386</v>
      </c>
      <c r="Y46" s="24"/>
    </row>
    <row r="47" spans="1:25" s="52" customFormat="1" ht="142.80000000000001" customHeight="1" x14ac:dyDescent="0.25">
      <c r="A47" s="127">
        <f t="shared" ref="A47:A54" si="59">A46</f>
        <v>5</v>
      </c>
      <c r="B47" s="127">
        <f t="shared" si="56"/>
        <v>6</v>
      </c>
      <c r="C47" s="128" t="str">
        <f t="shared" si="55"/>
        <v>d</v>
      </c>
      <c r="D47" s="127" t="str">
        <f t="shared" si="53"/>
        <v>5-6d</v>
      </c>
      <c r="E47" s="21" t="s">
        <v>106</v>
      </c>
      <c r="F47" s="21" t="s">
        <v>15</v>
      </c>
      <c r="G47" s="23">
        <f>'Appendix G Envelope Rules'!I34</f>
        <v>0</v>
      </c>
      <c r="H47" s="21" t="str">
        <f t="shared" si="57"/>
        <v>Baseline floor assemblies must conform with assemblies detailed in Appendix A ( Slab-on-grade floors shall match the F-factor for unheated slabs from the same tables (A6).) and match the appropriate assembly maximum U-factors in Tables G3.4-1 through G3.4-8</v>
      </c>
      <c r="I47" s="21" t="str">
        <f t="shared" si="58"/>
        <v>Baseline RMR Surface:F_factor = expected value</v>
      </c>
      <c r="J47" s="21" t="str">
        <f t="shared" si="58"/>
        <v>Baseline space conditioning category (conditioned, semiheated, unconditioned), residential vs non-residential occupancy type and surface type (wall vs floor vs roof) are determined correctly</v>
      </c>
      <c r="K47" s="21" t="s">
        <v>187</v>
      </c>
      <c r="L47" s="52" t="s">
        <v>144</v>
      </c>
      <c r="M47" s="22" t="s">
        <v>937</v>
      </c>
      <c r="N47" s="22" t="s">
        <v>112</v>
      </c>
      <c r="O47" s="24" t="s">
        <v>122</v>
      </c>
      <c r="P47" s="21" t="s">
        <v>935</v>
      </c>
      <c r="Q47" s="23" t="s">
        <v>96</v>
      </c>
      <c r="R47" s="23">
        <v>1</v>
      </c>
      <c r="S47" s="23">
        <v>10000</v>
      </c>
      <c r="T47" s="23"/>
      <c r="U47" s="53" t="s">
        <v>191</v>
      </c>
      <c r="V47" s="32"/>
      <c r="W47" s="32"/>
      <c r="X47" s="32" t="s">
        <v>945</v>
      </c>
      <c r="Y47" s="24"/>
    </row>
    <row r="48" spans="1:25" s="52" customFormat="1" ht="142.80000000000001" customHeight="1" x14ac:dyDescent="0.25">
      <c r="A48" s="127">
        <f t="shared" si="59"/>
        <v>5</v>
      </c>
      <c r="B48" s="127">
        <f t="shared" si="56"/>
        <v>6</v>
      </c>
      <c r="C48" s="128" t="str">
        <f t="shared" si="55"/>
        <v>e</v>
      </c>
      <c r="D48" s="127" t="str">
        <f t="shared" ref="D48" si="60">A48&amp;"-"&amp;B48&amp;C48</f>
        <v>5-6e</v>
      </c>
      <c r="E48" s="21" t="s">
        <v>106</v>
      </c>
      <c r="F48" s="21" t="s">
        <v>15</v>
      </c>
      <c r="G48" s="23">
        <f>'Appendix G Envelope Rules'!I35</f>
        <v>0</v>
      </c>
      <c r="H48" s="21" t="str">
        <f t="shared" si="57"/>
        <v>Baseline floor assemblies must conform with assemblies detailed in Appendix A ( Slab-on-grade floors shall match the F-factor for unheated slabs from the same tables (A6).) and match the appropriate assembly maximum U-factors in Tables G3.4-1 through G3.4-8</v>
      </c>
      <c r="I48" s="21" t="str">
        <f t="shared" si="58"/>
        <v>Baseline RMR Surface:F_factor = expected value</v>
      </c>
      <c r="J48" s="21" t="str">
        <f t="shared" si="58"/>
        <v>Baseline space conditioning category (conditioned, semiheated, unconditioned), residential vs non-residential occupancy type and surface type (wall vs floor vs roof) are determined correctly</v>
      </c>
      <c r="K48" s="21" t="s">
        <v>187</v>
      </c>
      <c r="L48" s="52" t="s">
        <v>144</v>
      </c>
      <c r="M48" s="22" t="s">
        <v>947</v>
      </c>
      <c r="N48" s="22" t="s">
        <v>112</v>
      </c>
      <c r="O48" s="24" t="s">
        <v>124</v>
      </c>
      <c r="P48" s="21" t="s">
        <v>948</v>
      </c>
      <c r="Q48" s="23" t="s">
        <v>96</v>
      </c>
      <c r="R48" s="23">
        <v>1</v>
      </c>
      <c r="S48" s="23">
        <v>10000</v>
      </c>
      <c r="T48" s="23"/>
      <c r="U48" s="53" t="s">
        <v>191</v>
      </c>
      <c r="V48" s="32"/>
      <c r="W48" s="32"/>
      <c r="X48" s="32" t="s">
        <v>949</v>
      </c>
      <c r="Y48" s="24"/>
    </row>
    <row r="49" spans="1:25" s="52" customFormat="1" ht="105.6" customHeight="1" x14ac:dyDescent="0.25">
      <c r="A49" s="127">
        <f>A47</f>
        <v>5</v>
      </c>
      <c r="B49" s="127">
        <f>B47</f>
        <v>6</v>
      </c>
      <c r="C49" s="128" t="str">
        <f>CHAR(CODE(C47)+1)</f>
        <v>e</v>
      </c>
      <c r="D49" s="127" t="str">
        <f t="shared" si="53"/>
        <v>5-6e</v>
      </c>
      <c r="E49" s="21" t="s">
        <v>106</v>
      </c>
      <c r="F49" s="21" t="s">
        <v>15</v>
      </c>
      <c r="G49" s="23">
        <f>'Appendix G Envelope Rules'!I35</f>
        <v>0</v>
      </c>
      <c r="H49" s="21" t="str">
        <f>H47</f>
        <v>Baseline floor assemblies must conform with assemblies detailed in Appendix A ( Slab-on-grade floors shall match the F-factor for unheated slabs from the same tables (A6).) and match the appropriate assembly maximum U-factors in Tables G3.4-1 through G3.4-8</v>
      </c>
      <c r="I49" s="21" t="str">
        <f t="shared" si="58"/>
        <v>Baseline RMR Surface:F_factor = expected value</v>
      </c>
      <c r="J49" s="21" t="str">
        <f t="shared" si="58"/>
        <v>Baseline space conditioning category (conditioned, semiheated, unconditioned), residential vs non-residential occupancy type and surface type (wall vs floor vs roof) are determined correctly</v>
      </c>
      <c r="K49" s="21" t="s">
        <v>187</v>
      </c>
      <c r="L49" s="52" t="s">
        <v>144</v>
      </c>
      <c r="M49" s="22" t="s">
        <v>938</v>
      </c>
      <c r="N49" s="22" t="s">
        <v>112</v>
      </c>
      <c r="O49" s="24" t="s">
        <v>122</v>
      </c>
      <c r="P49" s="21" t="s">
        <v>939</v>
      </c>
      <c r="Q49" s="23" t="s">
        <v>96</v>
      </c>
      <c r="R49" s="23">
        <v>1</v>
      </c>
      <c r="S49" s="23">
        <v>10000</v>
      </c>
      <c r="T49" s="23"/>
      <c r="U49" s="53" t="s">
        <v>944</v>
      </c>
      <c r="V49" s="32"/>
      <c r="W49" s="32"/>
      <c r="X49" s="32" t="s">
        <v>946</v>
      </c>
      <c r="Y49" s="24"/>
    </row>
    <row r="50" spans="1:25" s="52" customFormat="1" ht="105.6" customHeight="1" x14ac:dyDescent="0.25">
      <c r="A50" s="127">
        <f t="shared" si="59"/>
        <v>5</v>
      </c>
      <c r="B50" s="127">
        <f t="shared" si="56"/>
        <v>6</v>
      </c>
      <c r="C50" s="128" t="str">
        <f t="shared" si="55"/>
        <v>f</v>
      </c>
      <c r="D50" s="127" t="str">
        <f t="shared" si="53"/>
        <v>5-6f</v>
      </c>
      <c r="E50" s="21" t="s">
        <v>106</v>
      </c>
      <c r="F50" s="21" t="s">
        <v>15</v>
      </c>
      <c r="G50" s="23">
        <f>'Appendix G Envelope Rules'!I36</f>
        <v>0</v>
      </c>
      <c r="H50" s="21" t="str">
        <f t="shared" si="57"/>
        <v>Baseline floor assemblies must conform with assemblies detailed in Appendix A ( Slab-on-grade floors shall match the F-factor for unheated slabs from the same tables (A6).) and match the appropriate assembly maximum U-factors in Tables G3.4-1 through G3.4-8</v>
      </c>
      <c r="I50" s="21" t="str">
        <f t="shared" si="58"/>
        <v>Baseline RMR Surface:F_factor = expected value</v>
      </c>
      <c r="J50" s="21" t="str">
        <f t="shared" si="58"/>
        <v>Baseline space conditioning category (conditioned, semiheated, unconditioned), residential vs non-residential occupancy type and surface type (wall vs floor vs roof) are determined correctly</v>
      </c>
      <c r="K50" s="21" t="s">
        <v>187</v>
      </c>
      <c r="L50" s="52" t="s">
        <v>144</v>
      </c>
      <c r="M50" s="22" t="s">
        <v>941</v>
      </c>
      <c r="N50" s="22" t="s">
        <v>112</v>
      </c>
      <c r="O50" s="24" t="s">
        <v>124</v>
      </c>
      <c r="P50" s="21" t="s">
        <v>940</v>
      </c>
      <c r="Q50" s="23" t="s">
        <v>96</v>
      </c>
      <c r="R50" s="23">
        <v>1</v>
      </c>
      <c r="S50" s="23">
        <v>10000</v>
      </c>
      <c r="T50" s="23"/>
      <c r="U50" s="53" t="s">
        <v>944</v>
      </c>
      <c r="V50" s="32"/>
      <c r="W50" s="32"/>
      <c r="X50" s="32" t="s">
        <v>950</v>
      </c>
      <c r="Y50" s="24"/>
    </row>
    <row r="51" spans="1:25" s="52" customFormat="1" ht="105.6" customHeight="1" x14ac:dyDescent="0.25">
      <c r="A51" s="127">
        <f t="shared" si="59"/>
        <v>5</v>
      </c>
      <c r="B51" s="127">
        <f t="shared" si="56"/>
        <v>6</v>
      </c>
      <c r="C51" s="128" t="str">
        <f t="shared" si="55"/>
        <v>g</v>
      </c>
      <c r="D51" s="127" t="str">
        <f t="shared" si="53"/>
        <v>5-6g</v>
      </c>
      <c r="E51" s="21" t="s">
        <v>106</v>
      </c>
      <c r="F51" s="21" t="s">
        <v>15</v>
      </c>
      <c r="G51" s="23">
        <f>'Appendix G Envelope Rules'!I37</f>
        <v>0</v>
      </c>
      <c r="H51" s="21" t="str">
        <f t="shared" si="57"/>
        <v>Baseline floor assemblies must conform with assemblies detailed in Appendix A ( Slab-on-grade floors shall match the F-factor for unheated slabs from the same tables (A6).) and match the appropriate assembly maximum U-factors in Tables G3.4-1 through G3.4-8</v>
      </c>
      <c r="I51" s="21" t="str">
        <f t="shared" si="58"/>
        <v>Baseline RMR Surface:F_factor = expected value</v>
      </c>
      <c r="J51" s="21" t="str">
        <f t="shared" si="58"/>
        <v>Baseline space conditioning category (conditioned, semiheated, unconditioned), residential vs non-residential occupancy type and surface type (wall vs floor vs roof) are determined correctly</v>
      </c>
      <c r="K51" s="21" t="s">
        <v>187</v>
      </c>
      <c r="L51" s="52" t="s">
        <v>144</v>
      </c>
      <c r="M51" s="22" t="s">
        <v>942</v>
      </c>
      <c r="N51" s="22" t="s">
        <v>112</v>
      </c>
      <c r="O51" s="24" t="s">
        <v>124</v>
      </c>
      <c r="P51" s="21" t="s">
        <v>943</v>
      </c>
      <c r="Q51" s="23" t="s">
        <v>96</v>
      </c>
      <c r="R51" s="23">
        <v>1</v>
      </c>
      <c r="S51" s="23">
        <v>10000</v>
      </c>
      <c r="T51" s="23"/>
      <c r="U51" s="53" t="s">
        <v>944</v>
      </c>
      <c r="V51" s="32"/>
      <c r="W51" s="32"/>
      <c r="X51" s="32" t="s">
        <v>951</v>
      </c>
      <c r="Y51" s="24"/>
    </row>
    <row r="52" spans="1:25" s="52" customFormat="1" ht="144.6" customHeight="1" x14ac:dyDescent="0.25">
      <c r="A52" s="127">
        <f t="shared" si="59"/>
        <v>5</v>
      </c>
      <c r="B52" s="127">
        <f t="shared" si="56"/>
        <v>6</v>
      </c>
      <c r="C52" s="128" t="str">
        <f t="shared" si="55"/>
        <v>h</v>
      </c>
      <c r="D52" s="127" t="str">
        <f t="shared" si="53"/>
        <v>5-6h</v>
      </c>
      <c r="E52" s="21" t="s">
        <v>106</v>
      </c>
      <c r="F52" s="21" t="s">
        <v>15</v>
      </c>
      <c r="G52" s="23">
        <f>'Appendix G Envelope Rules'!I38</f>
        <v>0</v>
      </c>
      <c r="H52" s="21" t="str">
        <f t="shared" si="57"/>
        <v>Baseline floor assemblies must conform with assemblies detailed in Appendix A ( Slab-on-grade floors shall match the F-factor for unheated slabs from the same tables (A6).) and match the appropriate assembly maximum U-factors in Tables G3.4-1 through G3.4-8</v>
      </c>
      <c r="I52" s="21" t="str">
        <f t="shared" si="58"/>
        <v>Baseline RMR Surface:F_factor = expected value</v>
      </c>
      <c r="J52" s="21" t="str">
        <f t="shared" si="58"/>
        <v>Baseline space conditioning category (conditioned, semiheated, unconditioned), residential vs non-residential occupancy type and surface type (wall vs floor vs roof) are determined correctly</v>
      </c>
      <c r="K52" s="21" t="s">
        <v>187</v>
      </c>
      <c r="L52" s="52" t="s">
        <v>144</v>
      </c>
      <c r="M52" s="22" t="s">
        <v>954</v>
      </c>
      <c r="N52" s="22" t="s">
        <v>112</v>
      </c>
      <c r="O52" s="24" t="s">
        <v>122</v>
      </c>
      <c r="P52" s="21" t="s">
        <v>955</v>
      </c>
      <c r="Q52" s="23" t="s">
        <v>96</v>
      </c>
      <c r="R52" s="23">
        <v>1</v>
      </c>
      <c r="S52" s="23">
        <v>10000</v>
      </c>
      <c r="T52" s="23"/>
      <c r="U52" s="53" t="s">
        <v>953</v>
      </c>
      <c r="V52" s="32" t="s">
        <v>952</v>
      </c>
      <c r="W52" s="32"/>
      <c r="X52" s="32" t="s">
        <v>952</v>
      </c>
      <c r="Y52" s="24"/>
    </row>
    <row r="53" spans="1:25" s="52" customFormat="1" ht="144.6" customHeight="1" x14ac:dyDescent="0.25">
      <c r="A53" s="127">
        <f t="shared" si="59"/>
        <v>5</v>
      </c>
      <c r="B53" s="127">
        <f t="shared" si="56"/>
        <v>6</v>
      </c>
      <c r="C53" s="128" t="str">
        <f t="shared" si="55"/>
        <v>i</v>
      </c>
      <c r="D53" s="127" t="str">
        <f t="shared" ref="D53" si="61">A53&amp;"-"&amp;B53&amp;C53</f>
        <v>5-6i</v>
      </c>
      <c r="E53" s="21" t="s">
        <v>106</v>
      </c>
      <c r="F53" s="21" t="s">
        <v>15</v>
      </c>
      <c r="G53" s="23">
        <f>'Appendix G Envelope Rules'!I39</f>
        <v>0</v>
      </c>
      <c r="H53" s="21" t="str">
        <f t="shared" si="57"/>
        <v>Baseline floor assemblies must conform with assemblies detailed in Appendix A ( Slab-on-grade floors shall match the F-factor for unheated slabs from the same tables (A6).) and match the appropriate assembly maximum U-factors in Tables G3.4-1 through G3.4-8</v>
      </c>
      <c r="I53" s="21" t="str">
        <f t="shared" si="58"/>
        <v>Baseline RMR Surface:F_factor = expected value</v>
      </c>
      <c r="J53" s="21" t="str">
        <f t="shared" si="58"/>
        <v>Baseline space conditioning category (conditioned, semiheated, unconditioned), residential vs non-residential occupancy type and surface type (wall vs floor vs roof) are determined correctly</v>
      </c>
      <c r="K53" s="21" t="s">
        <v>187</v>
      </c>
      <c r="L53" s="52" t="s">
        <v>144</v>
      </c>
      <c r="M53" s="22" t="s">
        <v>956</v>
      </c>
      <c r="N53" s="22" t="s">
        <v>112</v>
      </c>
      <c r="O53" s="24" t="s">
        <v>124</v>
      </c>
      <c r="P53" s="21" t="s">
        <v>957</v>
      </c>
      <c r="Q53" s="23" t="s">
        <v>96</v>
      </c>
      <c r="R53" s="23">
        <v>1</v>
      </c>
      <c r="S53" s="23">
        <v>10000</v>
      </c>
      <c r="T53" s="23"/>
      <c r="U53" s="53" t="s">
        <v>953</v>
      </c>
      <c r="V53" s="32" t="s">
        <v>952</v>
      </c>
      <c r="W53" s="32"/>
      <c r="X53" s="32" t="s">
        <v>958</v>
      </c>
      <c r="Y53" s="24"/>
    </row>
    <row r="54" spans="1:25" s="52" customFormat="1" ht="144.6" customHeight="1" x14ac:dyDescent="0.25">
      <c r="A54" s="127">
        <f t="shared" si="59"/>
        <v>5</v>
      </c>
      <c r="B54" s="127">
        <f t="shared" si="56"/>
        <v>6</v>
      </c>
      <c r="C54" s="128" t="str">
        <f t="shared" si="55"/>
        <v>j</v>
      </c>
      <c r="D54" s="127" t="str">
        <f t="shared" ref="D54" si="62">A54&amp;"-"&amp;B54&amp;C54</f>
        <v>5-6j</v>
      </c>
      <c r="E54" s="21" t="s">
        <v>106</v>
      </c>
      <c r="F54" s="21" t="s">
        <v>15</v>
      </c>
      <c r="G54" s="23">
        <f>'Appendix G Envelope Rules'!I40</f>
        <v>0</v>
      </c>
      <c r="H54" s="21" t="s">
        <v>960</v>
      </c>
      <c r="I54" s="21" t="s">
        <v>959</v>
      </c>
      <c r="J54" s="21" t="s">
        <v>121</v>
      </c>
      <c r="K54" s="21" t="s">
        <v>961</v>
      </c>
      <c r="L54" s="52" t="s">
        <v>144</v>
      </c>
      <c r="M54" s="22" t="s">
        <v>956</v>
      </c>
      <c r="N54" s="22" t="s">
        <v>112</v>
      </c>
      <c r="O54" s="24" t="s">
        <v>124</v>
      </c>
      <c r="P54" s="21" t="s">
        <v>957</v>
      </c>
      <c r="Q54" s="23" t="s">
        <v>96</v>
      </c>
      <c r="R54" s="23">
        <v>1</v>
      </c>
      <c r="S54" s="23">
        <v>10000</v>
      </c>
      <c r="T54" s="23"/>
      <c r="U54" s="53" t="s">
        <v>953</v>
      </c>
      <c r="V54" s="32" t="s">
        <v>952</v>
      </c>
      <c r="W54" s="32"/>
      <c r="X54" s="32" t="s">
        <v>958</v>
      </c>
      <c r="Y54" s="24"/>
    </row>
    <row r="55" spans="1:25" s="72" customFormat="1" ht="178.8" customHeight="1" x14ac:dyDescent="0.25">
      <c r="A55" s="130">
        <v>5</v>
      </c>
      <c r="B55" s="130">
        <v>7</v>
      </c>
      <c r="C55" s="131" t="s">
        <v>110</v>
      </c>
      <c r="D55" s="130" t="str">
        <f t="shared" si="53"/>
        <v>5-7a</v>
      </c>
      <c r="E55" s="73"/>
      <c r="F55" s="73"/>
      <c r="G55" s="28" t="s">
        <v>24</v>
      </c>
      <c r="H55" s="76" t="s">
        <v>415</v>
      </c>
      <c r="I55" s="73" t="s">
        <v>394</v>
      </c>
      <c r="J55" s="73"/>
      <c r="K55" s="73" t="s">
        <v>395</v>
      </c>
      <c r="L55" s="72" t="s">
        <v>396</v>
      </c>
      <c r="M55" s="74" t="s">
        <v>405</v>
      </c>
      <c r="N55" s="74" t="s">
        <v>112</v>
      </c>
      <c r="O55" s="27" t="s">
        <v>122</v>
      </c>
      <c r="P55" s="73" t="s">
        <v>397</v>
      </c>
      <c r="Q55" s="28"/>
      <c r="R55" s="28"/>
      <c r="S55" s="28"/>
      <c r="T55" s="28"/>
      <c r="U55" s="50" t="s">
        <v>401</v>
      </c>
      <c r="V55" s="75" t="s">
        <v>403</v>
      </c>
      <c r="W55" s="75"/>
      <c r="X55" s="75" t="s">
        <v>404</v>
      </c>
      <c r="Y55" s="27"/>
    </row>
    <row r="56" spans="1:25" s="72" customFormat="1" ht="326.39999999999998" customHeight="1" x14ac:dyDescent="0.25">
      <c r="A56" s="130">
        <v>5</v>
      </c>
      <c r="B56" s="130">
        <v>7</v>
      </c>
      <c r="C56" s="131" t="str">
        <f>CHAR(CODE(C55)+1)</f>
        <v>b</v>
      </c>
      <c r="D56" s="130" t="str">
        <f t="shared" ref="D56" si="63">A56&amp;"-"&amp;B56&amp;C56</f>
        <v>5-7b</v>
      </c>
      <c r="E56" s="73"/>
      <c r="F56" s="73"/>
      <c r="G56" s="28" t="s">
        <v>24</v>
      </c>
      <c r="H56" s="76" t="s">
        <v>416</v>
      </c>
      <c r="I56" s="73" t="s">
        <v>394</v>
      </c>
      <c r="J56" s="73"/>
      <c r="K56" s="73" t="s">
        <v>395</v>
      </c>
      <c r="L56" s="72" t="s">
        <v>396</v>
      </c>
      <c r="M56" s="74" t="s">
        <v>402</v>
      </c>
      <c r="N56" s="74" t="s">
        <v>112</v>
      </c>
      <c r="O56" s="27" t="s">
        <v>124</v>
      </c>
      <c r="P56" s="73" t="s">
        <v>410</v>
      </c>
      <c r="Q56" s="28"/>
      <c r="R56" s="28"/>
      <c r="S56" s="28"/>
      <c r="T56" s="28"/>
      <c r="U56" s="50" t="s">
        <v>401</v>
      </c>
      <c r="V56" s="75" t="s">
        <v>403</v>
      </c>
      <c r="W56" s="75"/>
      <c r="X56" s="75" t="s">
        <v>409</v>
      </c>
      <c r="Y56" s="27"/>
    </row>
    <row r="57" spans="1:25" s="72" customFormat="1" ht="326.39999999999998" customHeight="1" x14ac:dyDescent="0.25">
      <c r="A57" s="130">
        <v>5</v>
      </c>
      <c r="B57" s="130">
        <v>7</v>
      </c>
      <c r="C57" s="131" t="str">
        <f t="shared" ref="C57:C63" si="64">CHAR(CODE(C56)+1)</f>
        <v>c</v>
      </c>
      <c r="D57" s="130" t="str">
        <f t="shared" ref="D57" si="65">A57&amp;"-"&amp;B57&amp;C57</f>
        <v>5-7c</v>
      </c>
      <c r="E57" s="73"/>
      <c r="F57" s="73"/>
      <c r="G57" s="28" t="s">
        <v>24</v>
      </c>
      <c r="H57" s="76" t="s">
        <v>416</v>
      </c>
      <c r="I57" s="73" t="s">
        <v>394</v>
      </c>
      <c r="J57" s="73"/>
      <c r="K57" s="73" t="s">
        <v>395</v>
      </c>
      <c r="L57" s="72" t="s">
        <v>396</v>
      </c>
      <c r="M57" s="74" t="s">
        <v>402</v>
      </c>
      <c r="N57" s="74" t="s">
        <v>112</v>
      </c>
      <c r="O57" s="27" t="s">
        <v>124</v>
      </c>
      <c r="P57" s="73" t="s">
        <v>408</v>
      </c>
      <c r="Q57" s="28"/>
      <c r="R57" s="28"/>
      <c r="S57" s="28"/>
      <c r="T57" s="28"/>
      <c r="U57" s="50" t="s">
        <v>401</v>
      </c>
      <c r="V57" s="75" t="s">
        <v>403</v>
      </c>
      <c r="W57" s="75"/>
      <c r="X57" s="75" t="s">
        <v>406</v>
      </c>
      <c r="Y57" s="27"/>
    </row>
    <row r="58" spans="1:25" s="72" customFormat="1" ht="326.39999999999998" customHeight="1" x14ac:dyDescent="0.25">
      <c r="A58" s="130">
        <v>5</v>
      </c>
      <c r="B58" s="130">
        <v>7</v>
      </c>
      <c r="C58" s="131" t="str">
        <f t="shared" si="64"/>
        <v>d</v>
      </c>
      <c r="D58" s="130" t="str">
        <f t="shared" ref="D58" si="66">A58&amp;"-"&amp;B58&amp;C58</f>
        <v>5-7d</v>
      </c>
      <c r="E58" s="73"/>
      <c r="F58" s="73"/>
      <c r="G58" s="28" t="s">
        <v>24</v>
      </c>
      <c r="H58" s="76" t="s">
        <v>416</v>
      </c>
      <c r="I58" s="73" t="s">
        <v>394</v>
      </c>
      <c r="J58" s="73"/>
      <c r="K58" s="73" t="s">
        <v>395</v>
      </c>
      <c r="L58" s="72" t="s">
        <v>396</v>
      </c>
      <c r="M58" s="74" t="s">
        <v>407</v>
      </c>
      <c r="N58" s="74" t="s">
        <v>112</v>
      </c>
      <c r="O58" s="27" t="s">
        <v>122</v>
      </c>
      <c r="P58" s="73" t="s">
        <v>411</v>
      </c>
      <c r="Q58" s="28"/>
      <c r="R58" s="28"/>
      <c r="S58" s="28"/>
      <c r="T58" s="28"/>
      <c r="U58" s="50" t="s">
        <v>401</v>
      </c>
      <c r="V58" s="75" t="s">
        <v>412</v>
      </c>
      <c r="W58" s="75"/>
      <c r="X58" s="75" t="s">
        <v>413</v>
      </c>
      <c r="Y58" s="27"/>
    </row>
    <row r="59" spans="1:25" s="72" customFormat="1" ht="326.39999999999998" customHeight="1" x14ac:dyDescent="0.25">
      <c r="A59" s="130">
        <v>5</v>
      </c>
      <c r="B59" s="130">
        <v>7</v>
      </c>
      <c r="C59" s="131" t="str">
        <f t="shared" si="64"/>
        <v>e</v>
      </c>
      <c r="D59" s="130" t="str">
        <f t="shared" ref="D59" si="67">A59&amp;"-"&amp;B59&amp;C59</f>
        <v>5-7e</v>
      </c>
      <c r="E59" s="73"/>
      <c r="F59" s="73"/>
      <c r="G59" s="28" t="s">
        <v>24</v>
      </c>
      <c r="H59" s="76" t="s">
        <v>414</v>
      </c>
      <c r="I59" s="73" t="s">
        <v>394</v>
      </c>
      <c r="J59" s="73"/>
      <c r="K59" s="73" t="s">
        <v>395</v>
      </c>
      <c r="L59" s="72" t="s">
        <v>396</v>
      </c>
      <c r="M59" s="74" t="s">
        <v>417</v>
      </c>
      <c r="N59" s="74" t="s">
        <v>112</v>
      </c>
      <c r="O59" s="27" t="s">
        <v>122</v>
      </c>
      <c r="P59" s="73" t="s">
        <v>418</v>
      </c>
      <c r="Q59" s="28"/>
      <c r="R59" s="28"/>
      <c r="S59" s="28"/>
      <c r="T59" s="28"/>
      <c r="U59" s="50" t="s">
        <v>437</v>
      </c>
      <c r="V59" s="75" t="s">
        <v>419</v>
      </c>
      <c r="W59" s="75"/>
      <c r="X59" s="75" t="s">
        <v>420</v>
      </c>
      <c r="Y59" s="27"/>
    </row>
    <row r="60" spans="1:25" s="72" customFormat="1" ht="326.39999999999998" customHeight="1" x14ac:dyDescent="0.25">
      <c r="A60" s="130">
        <v>5</v>
      </c>
      <c r="B60" s="130">
        <v>7</v>
      </c>
      <c r="C60" s="131" t="str">
        <f t="shared" si="64"/>
        <v>f</v>
      </c>
      <c r="D60" s="130" t="str">
        <f t="shared" ref="D60" si="68">A60&amp;"-"&amp;B60&amp;C60</f>
        <v>5-7f</v>
      </c>
      <c r="E60" s="73"/>
      <c r="F60" s="73"/>
      <c r="G60" s="28" t="s">
        <v>24</v>
      </c>
      <c r="H60" s="76" t="s">
        <v>414</v>
      </c>
      <c r="I60" s="73" t="s">
        <v>394</v>
      </c>
      <c r="J60" s="73"/>
      <c r="K60" s="73" t="s">
        <v>395</v>
      </c>
      <c r="L60" s="72" t="s">
        <v>396</v>
      </c>
      <c r="M60" s="74" t="s">
        <v>417</v>
      </c>
      <c r="N60" s="74" t="s">
        <v>112</v>
      </c>
      <c r="O60" s="27" t="s">
        <v>124</v>
      </c>
      <c r="P60" s="73" t="s">
        <v>421</v>
      </c>
      <c r="Q60" s="28"/>
      <c r="R60" s="28"/>
      <c r="S60" s="28"/>
      <c r="T60" s="28"/>
      <c r="U60" s="50" t="s">
        <v>401</v>
      </c>
      <c r="V60" s="75" t="s">
        <v>419</v>
      </c>
      <c r="W60" s="75"/>
      <c r="X60" s="75" t="s">
        <v>422</v>
      </c>
      <c r="Y60" s="27"/>
    </row>
    <row r="61" spans="1:25" s="72" customFormat="1" ht="326.39999999999998" customHeight="1" x14ac:dyDescent="0.25">
      <c r="A61" s="130">
        <v>5</v>
      </c>
      <c r="B61" s="130">
        <v>7</v>
      </c>
      <c r="C61" s="131" t="str">
        <f t="shared" si="64"/>
        <v>g</v>
      </c>
      <c r="D61" s="130" t="str">
        <f t="shared" ref="D61" si="69">A61&amp;"-"&amp;B61&amp;C61</f>
        <v>5-7g</v>
      </c>
      <c r="E61" s="73"/>
      <c r="F61" s="73"/>
      <c r="G61" s="28" t="s">
        <v>24</v>
      </c>
      <c r="H61" s="76" t="s">
        <v>414</v>
      </c>
      <c r="I61" s="73" t="s">
        <v>394</v>
      </c>
      <c r="J61" s="73"/>
      <c r="K61" s="73" t="s">
        <v>395</v>
      </c>
      <c r="L61" s="72" t="s">
        <v>396</v>
      </c>
      <c r="M61" s="74" t="s">
        <v>423</v>
      </c>
      <c r="N61" s="74" t="s">
        <v>112</v>
      </c>
      <c r="O61" s="27" t="s">
        <v>122</v>
      </c>
      <c r="P61" s="73" t="s">
        <v>424</v>
      </c>
      <c r="Q61" s="28"/>
      <c r="R61" s="28"/>
      <c r="S61" s="28"/>
      <c r="T61" s="28"/>
      <c r="U61" s="50" t="s">
        <v>401</v>
      </c>
      <c r="V61" s="75" t="s">
        <v>425</v>
      </c>
      <c r="W61" s="75"/>
      <c r="X61" s="75" t="s">
        <v>425</v>
      </c>
      <c r="Y61" s="27"/>
    </row>
    <row r="62" spans="1:25" s="72" customFormat="1" ht="41.4" customHeight="1" x14ac:dyDescent="0.25">
      <c r="A62" s="130">
        <v>5</v>
      </c>
      <c r="B62" s="130">
        <v>7</v>
      </c>
      <c r="C62" s="131" t="str">
        <f t="shared" si="64"/>
        <v>h</v>
      </c>
      <c r="D62" s="130" t="str">
        <f t="shared" ref="D62:D64" si="70">A62&amp;"-"&amp;B62&amp;C62</f>
        <v>5-7h</v>
      </c>
      <c r="E62" s="73"/>
      <c r="F62" s="73"/>
      <c r="G62" s="28" t="s">
        <v>24</v>
      </c>
      <c r="H62" s="76" t="s">
        <v>426</v>
      </c>
      <c r="I62" s="73" t="s">
        <v>394</v>
      </c>
      <c r="J62" s="73"/>
      <c r="K62" s="73" t="s">
        <v>395</v>
      </c>
      <c r="L62" s="72" t="s">
        <v>396</v>
      </c>
      <c r="M62" s="74" t="s">
        <v>427</v>
      </c>
      <c r="N62" s="74" t="s">
        <v>112</v>
      </c>
      <c r="O62" s="62" t="s">
        <v>171</v>
      </c>
      <c r="P62" s="73" t="s">
        <v>427</v>
      </c>
      <c r="Q62" s="28"/>
      <c r="R62" s="28"/>
      <c r="S62" s="28"/>
      <c r="T62" s="28"/>
      <c r="U62" s="50" t="s">
        <v>428</v>
      </c>
      <c r="V62" s="75"/>
      <c r="W62" s="75"/>
      <c r="X62" s="75" t="b">
        <v>0</v>
      </c>
      <c r="Y62" s="27"/>
    </row>
    <row r="63" spans="1:25" s="72" customFormat="1" ht="118.2" customHeight="1" x14ac:dyDescent="0.25">
      <c r="A63" s="130">
        <v>5</v>
      </c>
      <c r="B63" s="130">
        <v>7</v>
      </c>
      <c r="C63" s="131" t="str">
        <f t="shared" si="64"/>
        <v>i</v>
      </c>
      <c r="D63" s="130" t="str">
        <f t="shared" si="70"/>
        <v>5-7i</v>
      </c>
      <c r="E63" s="73"/>
      <c r="F63" s="73"/>
      <c r="G63" s="28" t="s">
        <v>24</v>
      </c>
      <c r="H63" s="76" t="s">
        <v>530</v>
      </c>
      <c r="I63" s="73" t="s">
        <v>429</v>
      </c>
      <c r="J63" s="73"/>
      <c r="K63" s="73"/>
      <c r="L63" s="72" t="s">
        <v>396</v>
      </c>
      <c r="M63" s="74" t="s">
        <v>430</v>
      </c>
      <c r="N63" s="74" t="s">
        <v>431</v>
      </c>
      <c r="O63" s="27" t="s">
        <v>122</v>
      </c>
      <c r="P63" s="73" t="s">
        <v>432</v>
      </c>
      <c r="Q63" s="28"/>
      <c r="R63" s="28"/>
      <c r="S63" s="28"/>
      <c r="T63" s="28"/>
      <c r="U63" s="50" t="s">
        <v>434</v>
      </c>
      <c r="V63" s="75" t="s">
        <v>433</v>
      </c>
      <c r="W63" s="75"/>
      <c r="X63" s="75" t="s">
        <v>433</v>
      </c>
      <c r="Y63" s="27"/>
    </row>
    <row r="64" spans="1:25" s="52" customFormat="1" ht="238.8" customHeight="1" x14ac:dyDescent="0.25">
      <c r="A64" s="127">
        <f t="shared" ref="A64" si="71">A63</f>
        <v>5</v>
      </c>
      <c r="B64" s="127">
        <v>8</v>
      </c>
      <c r="C64" s="128" t="s">
        <v>110</v>
      </c>
      <c r="D64" s="127" t="str">
        <f t="shared" si="70"/>
        <v>5-8a</v>
      </c>
      <c r="E64" s="21" t="s">
        <v>106</v>
      </c>
      <c r="F64" s="21" t="s">
        <v>15</v>
      </c>
      <c r="G64" s="23" t="str">
        <f>'Appendix G Envelope Rules'!I9</f>
        <v>Table G3.1 Section 5d</v>
      </c>
      <c r="H64" s="21" t="s">
        <v>462</v>
      </c>
      <c r="I64" s="21" t="s">
        <v>435</v>
      </c>
      <c r="J64" s="21" t="s">
        <v>188</v>
      </c>
      <c r="K64" s="21" t="s">
        <v>187</v>
      </c>
      <c r="L64" s="52" t="s">
        <v>177</v>
      </c>
      <c r="M64" s="22" t="s">
        <v>451</v>
      </c>
      <c r="N64" s="22" t="s">
        <v>112</v>
      </c>
      <c r="O64" s="24" t="s">
        <v>122</v>
      </c>
      <c r="P64" s="21" t="s">
        <v>450</v>
      </c>
      <c r="Q64" s="23" t="s">
        <v>96</v>
      </c>
      <c r="R64" s="23">
        <v>1</v>
      </c>
      <c r="S64" s="23">
        <v>10000</v>
      </c>
      <c r="T64" s="23"/>
      <c r="U64" s="77" t="s">
        <v>447</v>
      </c>
      <c r="V64" s="21"/>
      <c r="W64" s="21"/>
      <c r="X64" s="21" t="s">
        <v>449</v>
      </c>
      <c r="Y64" s="24"/>
    </row>
    <row r="65" spans="1:25" s="52" customFormat="1" ht="63.6" customHeight="1" x14ac:dyDescent="0.25">
      <c r="A65" s="127">
        <f t="shared" ref="A65" si="72">A64</f>
        <v>5</v>
      </c>
      <c r="B65" s="127">
        <f>B64</f>
        <v>8</v>
      </c>
      <c r="C65" s="128" t="str">
        <f>CHAR(CODE(C64)+1)</f>
        <v>b</v>
      </c>
      <c r="D65" s="127" t="str">
        <f t="shared" ref="D65" si="73">A65&amp;"-"&amp;B65&amp;C65</f>
        <v>5-8b</v>
      </c>
      <c r="E65" s="21" t="s">
        <v>106</v>
      </c>
      <c r="F65" s="21" t="s">
        <v>15</v>
      </c>
      <c r="G65" s="23" t="str">
        <f t="shared" ref="G65:G73" si="74">G64</f>
        <v>Table G3.1 Section 5d</v>
      </c>
      <c r="H65" s="21" t="s">
        <v>462</v>
      </c>
      <c r="I65" s="21" t="s">
        <v>435</v>
      </c>
      <c r="J65" s="21" t="s">
        <v>188</v>
      </c>
      <c r="K65" s="21" t="s">
        <v>187</v>
      </c>
      <c r="L65" s="52" t="s">
        <v>177</v>
      </c>
      <c r="M65" s="22" t="s">
        <v>436</v>
      </c>
      <c r="N65" s="22" t="s">
        <v>112</v>
      </c>
      <c r="O65" s="24" t="s">
        <v>122</v>
      </c>
      <c r="P65" s="21" t="s">
        <v>452</v>
      </c>
      <c r="Q65" s="23" t="s">
        <v>96</v>
      </c>
      <c r="R65" s="23">
        <v>1</v>
      </c>
      <c r="S65" s="23">
        <v>10000</v>
      </c>
      <c r="T65" s="23"/>
      <c r="U65" s="77" t="s">
        <v>447</v>
      </c>
      <c r="V65" s="21"/>
      <c r="W65" s="21"/>
      <c r="X65" s="21" t="s">
        <v>453</v>
      </c>
      <c r="Y65" s="24"/>
    </row>
    <row r="66" spans="1:25" s="52" customFormat="1" ht="63.6" customHeight="1" x14ac:dyDescent="0.25">
      <c r="A66" s="127">
        <f t="shared" ref="A66" si="75">A65</f>
        <v>5</v>
      </c>
      <c r="B66" s="127">
        <f>B65</f>
        <v>8</v>
      </c>
      <c r="C66" s="128" t="str">
        <f>CHAR(CODE(C65)+1)</f>
        <v>c</v>
      </c>
      <c r="D66" s="127" t="str">
        <f t="shared" ref="D66" si="76">A66&amp;"-"&amp;B66&amp;C66</f>
        <v>5-8c</v>
      </c>
      <c r="E66" s="21" t="s">
        <v>106</v>
      </c>
      <c r="F66" s="21" t="s">
        <v>15</v>
      </c>
      <c r="G66" s="23" t="str">
        <f t="shared" si="74"/>
        <v>Table G3.1 Section 5d</v>
      </c>
      <c r="H66" s="21" t="s">
        <v>462</v>
      </c>
      <c r="I66" s="21" t="s">
        <v>435</v>
      </c>
      <c r="J66" s="21" t="s">
        <v>188</v>
      </c>
      <c r="K66" s="21" t="s">
        <v>187</v>
      </c>
      <c r="L66" s="52" t="s">
        <v>177</v>
      </c>
      <c r="M66" s="22" t="s">
        <v>454</v>
      </c>
      <c r="N66" s="22" t="s">
        <v>112</v>
      </c>
      <c r="O66" s="24" t="s">
        <v>122</v>
      </c>
      <c r="P66" s="21" t="s">
        <v>452</v>
      </c>
      <c r="Q66" s="23" t="s">
        <v>96</v>
      </c>
      <c r="R66" s="23">
        <v>1</v>
      </c>
      <c r="S66" s="23">
        <v>10000</v>
      </c>
      <c r="T66" s="23"/>
      <c r="U66" s="77" t="s">
        <v>455</v>
      </c>
      <c r="V66" s="21"/>
      <c r="W66" s="21"/>
      <c r="X66" s="21" t="s">
        <v>458</v>
      </c>
      <c r="Y66" s="24"/>
    </row>
    <row r="67" spans="1:25" s="52" customFormat="1" ht="63.6" customHeight="1" x14ac:dyDescent="0.25">
      <c r="A67" s="127">
        <f t="shared" ref="A67" si="77">A66</f>
        <v>5</v>
      </c>
      <c r="B67" s="127">
        <f>B66</f>
        <v>8</v>
      </c>
      <c r="C67" s="128" t="str">
        <f>CHAR(CODE(C66)+1)</f>
        <v>d</v>
      </c>
      <c r="D67" s="127" t="str">
        <f t="shared" ref="D67" si="78">A67&amp;"-"&amp;B67&amp;C67</f>
        <v>5-8d</v>
      </c>
      <c r="E67" s="21" t="s">
        <v>106</v>
      </c>
      <c r="F67" s="21" t="s">
        <v>15</v>
      </c>
      <c r="G67" s="23" t="str">
        <f t="shared" si="74"/>
        <v>Table G3.1 Section 5d</v>
      </c>
      <c r="H67" s="21" t="s">
        <v>464</v>
      </c>
      <c r="I67" s="21" t="s">
        <v>465</v>
      </c>
      <c r="J67" s="21" t="s">
        <v>188</v>
      </c>
      <c r="K67" s="21"/>
      <c r="L67" s="52" t="s">
        <v>177</v>
      </c>
      <c r="M67" s="22" t="s">
        <v>459</v>
      </c>
      <c r="N67" s="22" t="s">
        <v>112</v>
      </c>
      <c r="O67" s="24" t="s">
        <v>122</v>
      </c>
      <c r="P67" s="21" t="s">
        <v>460</v>
      </c>
      <c r="Q67" s="23" t="s">
        <v>96</v>
      </c>
      <c r="R67" s="23">
        <v>1</v>
      </c>
      <c r="S67" s="23">
        <v>10000</v>
      </c>
      <c r="T67" s="23"/>
      <c r="U67" s="77" t="s">
        <v>455</v>
      </c>
      <c r="V67" s="21" t="s">
        <v>461</v>
      </c>
      <c r="W67" s="21"/>
      <c r="X67" s="21" t="s">
        <v>461</v>
      </c>
      <c r="Y67" s="24"/>
    </row>
    <row r="68" spans="1:25" s="52" customFormat="1" ht="63.6" customHeight="1" x14ac:dyDescent="0.25">
      <c r="A68" s="127">
        <f t="shared" ref="A68:A72" si="79">A67</f>
        <v>5</v>
      </c>
      <c r="B68" s="127">
        <f>B67</f>
        <v>8</v>
      </c>
      <c r="C68" s="128" t="str">
        <f>CHAR(CODE(C67)+1)</f>
        <v>e</v>
      </c>
      <c r="D68" s="127" t="str">
        <f t="shared" ref="D68:D72" si="80">A68&amp;"-"&amp;B68&amp;C68</f>
        <v>5-8e</v>
      </c>
      <c r="E68" s="21" t="s">
        <v>106</v>
      </c>
      <c r="F68" s="21" t="s">
        <v>15</v>
      </c>
      <c r="G68" s="23" t="str">
        <f t="shared" si="74"/>
        <v>Table G3.1 Section 5d</v>
      </c>
      <c r="H68" s="21" t="s">
        <v>463</v>
      </c>
      <c r="I68" s="21" t="s">
        <v>466</v>
      </c>
      <c r="J68" s="21" t="s">
        <v>188</v>
      </c>
      <c r="K68" s="21"/>
      <c r="L68" s="52" t="s">
        <v>177</v>
      </c>
      <c r="M68" s="22" t="s">
        <v>467</v>
      </c>
      <c r="N68" s="22" t="s">
        <v>112</v>
      </c>
      <c r="O68" s="24" t="s">
        <v>122</v>
      </c>
      <c r="P68" s="21" t="s">
        <v>460</v>
      </c>
      <c r="Q68" s="23" t="s">
        <v>96</v>
      </c>
      <c r="R68" s="23">
        <v>1</v>
      </c>
      <c r="S68" s="23">
        <v>10000</v>
      </c>
      <c r="T68" s="23"/>
      <c r="U68" s="77" t="s">
        <v>455</v>
      </c>
      <c r="V68" s="21" t="s">
        <v>461</v>
      </c>
      <c r="W68" s="21"/>
      <c r="X68" s="21" t="s">
        <v>461</v>
      </c>
      <c r="Y68" s="24"/>
    </row>
    <row r="69" spans="1:25" s="57" customFormat="1" ht="221.4" customHeight="1" x14ac:dyDescent="0.25">
      <c r="A69" s="126">
        <f t="shared" si="79"/>
        <v>5</v>
      </c>
      <c r="B69" s="126">
        <v>9</v>
      </c>
      <c r="C69" s="129" t="s">
        <v>110</v>
      </c>
      <c r="D69" s="126" t="str">
        <f t="shared" si="80"/>
        <v>5-9a</v>
      </c>
      <c r="E69" s="59" t="s">
        <v>106</v>
      </c>
      <c r="F69" s="59" t="s">
        <v>15</v>
      </c>
      <c r="G69" s="60" t="str">
        <f t="shared" si="74"/>
        <v>Table G3.1 Section 5d</v>
      </c>
      <c r="H69" s="59" t="s">
        <v>468</v>
      </c>
      <c r="I69" s="59" t="s">
        <v>469</v>
      </c>
      <c r="J69" s="59" t="s">
        <v>188</v>
      </c>
      <c r="K69" s="59" t="s">
        <v>187</v>
      </c>
      <c r="L69" s="57" t="s">
        <v>177</v>
      </c>
      <c r="M69" s="61" t="s">
        <v>470</v>
      </c>
      <c r="N69" s="61" t="s">
        <v>112</v>
      </c>
      <c r="O69" s="62" t="s">
        <v>122</v>
      </c>
      <c r="P69" s="59" t="s">
        <v>477</v>
      </c>
      <c r="Q69" s="60" t="s">
        <v>96</v>
      </c>
      <c r="R69" s="60">
        <v>1</v>
      </c>
      <c r="S69" s="60">
        <v>10000</v>
      </c>
      <c r="T69" s="60"/>
      <c r="U69" s="78" t="s">
        <v>479</v>
      </c>
      <c r="V69" s="59"/>
      <c r="W69" s="59"/>
      <c r="X69" s="59" t="s">
        <v>480</v>
      </c>
      <c r="Y69" s="62"/>
    </row>
    <row r="70" spans="1:25" s="57" customFormat="1" ht="83.4" customHeight="1" x14ac:dyDescent="0.25">
      <c r="A70" s="126">
        <f t="shared" si="79"/>
        <v>5</v>
      </c>
      <c r="B70" s="126">
        <f>B69</f>
        <v>9</v>
      </c>
      <c r="C70" s="129" t="str">
        <f>CHAR(CODE(C69)+1)</f>
        <v>b</v>
      </c>
      <c r="D70" s="126" t="str">
        <f t="shared" si="80"/>
        <v>5-9b</v>
      </c>
      <c r="E70" s="59" t="s">
        <v>106</v>
      </c>
      <c r="F70" s="59" t="s">
        <v>15</v>
      </c>
      <c r="G70" s="60" t="str">
        <f t="shared" si="74"/>
        <v>Table G3.1 Section 5d</v>
      </c>
      <c r="H70" s="59" t="s">
        <v>462</v>
      </c>
      <c r="I70" s="59" t="s">
        <v>435</v>
      </c>
      <c r="J70" s="59" t="s">
        <v>188</v>
      </c>
      <c r="K70" s="59" t="s">
        <v>187</v>
      </c>
      <c r="L70" s="57" t="s">
        <v>177</v>
      </c>
      <c r="M70" s="61" t="s">
        <v>471</v>
      </c>
      <c r="N70" s="61" t="s">
        <v>112</v>
      </c>
      <c r="O70" s="62" t="s">
        <v>122</v>
      </c>
      <c r="P70" s="59" t="s">
        <v>476</v>
      </c>
      <c r="Q70" s="60" t="s">
        <v>96</v>
      </c>
      <c r="R70" s="60">
        <v>1</v>
      </c>
      <c r="S70" s="60">
        <v>10000</v>
      </c>
      <c r="T70" s="60"/>
      <c r="U70" s="78" t="s">
        <v>479</v>
      </c>
      <c r="V70" s="59"/>
      <c r="W70" s="59"/>
      <c r="X70" s="59" t="s">
        <v>481</v>
      </c>
      <c r="Y70" s="62"/>
    </row>
    <row r="71" spans="1:25" s="57" customFormat="1" ht="83.4" customHeight="1" x14ac:dyDescent="0.25">
      <c r="A71" s="126">
        <f t="shared" si="79"/>
        <v>5</v>
      </c>
      <c r="B71" s="126">
        <f>B70</f>
        <v>9</v>
      </c>
      <c r="C71" s="129" t="str">
        <f>CHAR(CODE(C70)+1)</f>
        <v>c</v>
      </c>
      <c r="D71" s="126" t="str">
        <f t="shared" si="80"/>
        <v>5-9c</v>
      </c>
      <c r="E71" s="59" t="s">
        <v>106</v>
      </c>
      <c r="F71" s="59" t="s">
        <v>15</v>
      </c>
      <c r="G71" s="60" t="str">
        <f t="shared" si="74"/>
        <v>Table G3.1 Section 5d</v>
      </c>
      <c r="H71" s="59" t="s">
        <v>462</v>
      </c>
      <c r="I71" s="59" t="s">
        <v>435</v>
      </c>
      <c r="J71" s="59" t="s">
        <v>188</v>
      </c>
      <c r="K71" s="59" t="s">
        <v>187</v>
      </c>
      <c r="L71" s="57" t="s">
        <v>177</v>
      </c>
      <c r="M71" s="61" t="s">
        <v>472</v>
      </c>
      <c r="N71" s="61" t="s">
        <v>112</v>
      </c>
      <c r="O71" s="62" t="s">
        <v>122</v>
      </c>
      <c r="P71" s="59" t="s">
        <v>482</v>
      </c>
      <c r="Q71" s="60" t="s">
        <v>96</v>
      </c>
      <c r="R71" s="60">
        <v>1</v>
      </c>
      <c r="S71" s="60">
        <v>10000</v>
      </c>
      <c r="T71" s="60"/>
      <c r="U71" s="78" t="s">
        <v>478</v>
      </c>
      <c r="V71" s="59"/>
      <c r="W71" s="59"/>
      <c r="X71" s="59" t="s">
        <v>483</v>
      </c>
      <c r="Y71" s="62"/>
    </row>
    <row r="72" spans="1:25" s="57" customFormat="1" ht="83.4" customHeight="1" x14ac:dyDescent="0.25">
      <c r="A72" s="126">
        <f t="shared" si="79"/>
        <v>5</v>
      </c>
      <c r="B72" s="126">
        <f>B71</f>
        <v>9</v>
      </c>
      <c r="C72" s="129" t="str">
        <f>CHAR(CODE(C71)+1)</f>
        <v>d</v>
      </c>
      <c r="D72" s="126" t="str">
        <f t="shared" si="80"/>
        <v>5-9d</v>
      </c>
      <c r="E72" s="59" t="s">
        <v>106</v>
      </c>
      <c r="F72" s="59" t="s">
        <v>15</v>
      </c>
      <c r="G72" s="60" t="str">
        <f t="shared" si="74"/>
        <v>Table G3.1 Section 5d</v>
      </c>
      <c r="H72" s="59" t="s">
        <v>464</v>
      </c>
      <c r="I72" s="59" t="s">
        <v>465</v>
      </c>
      <c r="J72" s="59" t="s">
        <v>188</v>
      </c>
      <c r="K72" s="59"/>
      <c r="L72" s="57" t="s">
        <v>177</v>
      </c>
      <c r="M72" s="61" t="s">
        <v>473</v>
      </c>
      <c r="N72" s="61" t="s">
        <v>112</v>
      </c>
      <c r="O72" s="62" t="s">
        <v>122</v>
      </c>
      <c r="P72" s="59" t="s">
        <v>475</v>
      </c>
      <c r="Q72" s="60" t="s">
        <v>96</v>
      </c>
      <c r="R72" s="60">
        <v>1</v>
      </c>
      <c r="S72" s="60">
        <v>10000</v>
      </c>
      <c r="T72" s="60"/>
      <c r="U72" s="78" t="s">
        <v>478</v>
      </c>
      <c r="V72" s="59" t="s">
        <v>485</v>
      </c>
      <c r="W72" s="59"/>
      <c r="X72" s="59" t="s">
        <v>484</v>
      </c>
      <c r="Y72" s="62"/>
    </row>
    <row r="73" spans="1:25" s="57" customFormat="1" ht="83.4" customHeight="1" x14ac:dyDescent="0.25">
      <c r="A73" s="126">
        <f t="shared" ref="A73:A75" si="81">A72</f>
        <v>5</v>
      </c>
      <c r="B73" s="126">
        <f>B72</f>
        <v>9</v>
      </c>
      <c r="C73" s="129" t="str">
        <f>CHAR(CODE(C72)+1)</f>
        <v>e</v>
      </c>
      <c r="D73" s="126" t="str">
        <f t="shared" ref="D73:D75" si="82">A73&amp;"-"&amp;B73&amp;C73</f>
        <v>5-9e</v>
      </c>
      <c r="E73" s="59" t="s">
        <v>106</v>
      </c>
      <c r="F73" s="59" t="s">
        <v>15</v>
      </c>
      <c r="G73" s="60" t="str">
        <f t="shared" si="74"/>
        <v>Table G3.1 Section 5d</v>
      </c>
      <c r="H73" s="59" t="s">
        <v>463</v>
      </c>
      <c r="I73" s="59" t="s">
        <v>466</v>
      </c>
      <c r="J73" s="59" t="s">
        <v>188</v>
      </c>
      <c r="K73" s="59"/>
      <c r="L73" s="57" t="s">
        <v>177</v>
      </c>
      <c r="M73" s="61" t="s">
        <v>474</v>
      </c>
      <c r="N73" s="61" t="s">
        <v>431</v>
      </c>
      <c r="O73" s="62" t="s">
        <v>122</v>
      </c>
      <c r="P73" s="59" t="s">
        <v>486</v>
      </c>
      <c r="Q73" s="60" t="s">
        <v>96</v>
      </c>
      <c r="R73" s="60">
        <v>1</v>
      </c>
      <c r="S73" s="60">
        <v>10000</v>
      </c>
      <c r="T73" s="60"/>
      <c r="U73" s="78" t="s">
        <v>487</v>
      </c>
      <c r="V73" s="59" t="s">
        <v>488</v>
      </c>
      <c r="W73" s="59"/>
      <c r="X73" s="59" t="s">
        <v>488</v>
      </c>
      <c r="Y73" s="62"/>
    </row>
    <row r="74" spans="1:25" s="52" customFormat="1" ht="238.8" customHeight="1" x14ac:dyDescent="0.25">
      <c r="A74" s="127">
        <f t="shared" si="81"/>
        <v>5</v>
      </c>
      <c r="B74" s="127">
        <v>10</v>
      </c>
      <c r="C74" s="128" t="s">
        <v>110</v>
      </c>
      <c r="D74" s="127" t="str">
        <f t="shared" si="82"/>
        <v>5-10a</v>
      </c>
      <c r="E74" s="21" t="s">
        <v>106</v>
      </c>
      <c r="F74" s="21" t="s">
        <v>15</v>
      </c>
      <c r="G74" s="23" t="s">
        <v>26</v>
      </c>
      <c r="H74" s="21" t="s">
        <v>489</v>
      </c>
      <c r="I74" s="21" t="s">
        <v>967</v>
      </c>
      <c r="J74" s="21"/>
      <c r="K74" s="21"/>
      <c r="L74" s="52" t="s">
        <v>493</v>
      </c>
      <c r="M74" s="22" t="s">
        <v>494</v>
      </c>
      <c r="N74" s="22" t="s">
        <v>112</v>
      </c>
      <c r="O74" s="24" t="s">
        <v>122</v>
      </c>
      <c r="P74" s="21" t="s">
        <v>495</v>
      </c>
      <c r="Q74" s="23" t="s">
        <v>96</v>
      </c>
      <c r="R74" s="23">
        <v>1</v>
      </c>
      <c r="S74" s="23">
        <v>10000</v>
      </c>
      <c r="T74" s="23"/>
      <c r="U74" s="77" t="s">
        <v>497</v>
      </c>
      <c r="V74" s="21"/>
      <c r="W74" s="21"/>
      <c r="X74" s="21" t="s">
        <v>498</v>
      </c>
      <c r="Y74" s="24"/>
    </row>
    <row r="75" spans="1:25" s="52" customFormat="1" ht="63.6" customHeight="1" x14ac:dyDescent="0.25">
      <c r="A75" s="127">
        <f t="shared" si="81"/>
        <v>5</v>
      </c>
      <c r="B75" s="127">
        <f>B74</f>
        <v>10</v>
      </c>
      <c r="C75" s="128" t="str">
        <f>CHAR(CODE(C74)+1)</f>
        <v>b</v>
      </c>
      <c r="D75" s="127" t="str">
        <f t="shared" si="82"/>
        <v>5-10b</v>
      </c>
      <c r="E75" s="21" t="s">
        <v>106</v>
      </c>
      <c r="F75" s="21" t="s">
        <v>15</v>
      </c>
      <c r="G75" s="23" t="str">
        <f>G74</f>
        <v>Table G3.1 Section 5d</v>
      </c>
      <c r="H75" s="21" t="s">
        <v>490</v>
      </c>
      <c r="I75" s="21" t="s">
        <v>502</v>
      </c>
      <c r="J75" s="21"/>
      <c r="K75" s="21"/>
      <c r="L75" s="52" t="s">
        <v>493</v>
      </c>
      <c r="M75" s="22" t="s">
        <v>501</v>
      </c>
      <c r="N75" s="22" t="s">
        <v>431</v>
      </c>
      <c r="O75" s="24" t="s">
        <v>122</v>
      </c>
      <c r="P75" s="21" t="s">
        <v>499</v>
      </c>
      <c r="Q75" s="23" t="s">
        <v>96</v>
      </c>
      <c r="R75" s="23">
        <v>1</v>
      </c>
      <c r="S75" s="23">
        <v>10000</v>
      </c>
      <c r="T75" s="23"/>
      <c r="U75" s="77" t="s">
        <v>497</v>
      </c>
      <c r="V75" s="21" t="s">
        <v>500</v>
      </c>
      <c r="W75" s="21"/>
      <c r="X75" s="21" t="s">
        <v>500</v>
      </c>
      <c r="Y75" s="24"/>
    </row>
    <row r="76" spans="1:25" s="52" customFormat="1" ht="63.6" customHeight="1" x14ac:dyDescent="0.25">
      <c r="A76" s="127">
        <f t="shared" ref="A76:A78" si="83">A75</f>
        <v>5</v>
      </c>
      <c r="B76" s="127">
        <f>B75</f>
        <v>10</v>
      </c>
      <c r="C76" s="128" t="str">
        <f>CHAR(CODE(C75)+1)</f>
        <v>c</v>
      </c>
      <c r="D76" s="127" t="str">
        <f t="shared" ref="D76:D78" si="84">A76&amp;"-"&amp;B76&amp;C76</f>
        <v>5-10c</v>
      </c>
      <c r="E76" s="21" t="s">
        <v>106</v>
      </c>
      <c r="F76" s="21" t="s">
        <v>15</v>
      </c>
      <c r="G76" s="23" t="str">
        <f>G75</f>
        <v>Table G3.1 Section 5d</v>
      </c>
      <c r="H76" s="21" t="s">
        <v>490</v>
      </c>
      <c r="I76" s="21" t="s">
        <v>502</v>
      </c>
      <c r="J76" s="21"/>
      <c r="K76" s="21"/>
      <c r="L76" s="52" t="s">
        <v>493</v>
      </c>
      <c r="M76" s="22" t="s">
        <v>503</v>
      </c>
      <c r="N76" s="22" t="s">
        <v>431</v>
      </c>
      <c r="O76" s="24" t="s">
        <v>124</v>
      </c>
      <c r="P76" s="21" t="s">
        <v>504</v>
      </c>
      <c r="Q76" s="23" t="s">
        <v>96</v>
      </c>
      <c r="R76" s="23">
        <v>1</v>
      </c>
      <c r="S76" s="23">
        <v>10000</v>
      </c>
      <c r="T76" s="23"/>
      <c r="U76" s="77" t="s">
        <v>497</v>
      </c>
      <c r="V76" s="21" t="s">
        <v>498</v>
      </c>
      <c r="W76" s="21"/>
      <c r="X76" s="21" t="s">
        <v>500</v>
      </c>
      <c r="Y76" s="24"/>
    </row>
    <row r="77" spans="1:25" s="57" customFormat="1" ht="103.2" customHeight="1" x14ac:dyDescent="0.25">
      <c r="A77" s="126">
        <f t="shared" si="83"/>
        <v>5</v>
      </c>
      <c r="B77" s="126">
        <v>11</v>
      </c>
      <c r="C77" s="129" t="s">
        <v>110</v>
      </c>
      <c r="D77" s="126" t="str">
        <f t="shared" si="84"/>
        <v>5-11a</v>
      </c>
      <c r="E77" s="59" t="s">
        <v>106</v>
      </c>
      <c r="F77" s="59" t="s">
        <v>15</v>
      </c>
      <c r="G77" s="60" t="s">
        <v>509</v>
      </c>
      <c r="H77" s="59" t="s">
        <v>510</v>
      </c>
      <c r="I77" s="59" t="s">
        <v>511</v>
      </c>
      <c r="J77" s="59"/>
      <c r="K77" s="59"/>
      <c r="L77" s="57" t="s">
        <v>493</v>
      </c>
      <c r="M77" s="61" t="s">
        <v>512</v>
      </c>
      <c r="N77" s="61" t="s">
        <v>112</v>
      </c>
      <c r="O77" s="62" t="s">
        <v>122</v>
      </c>
      <c r="P77" s="59" t="s">
        <v>514</v>
      </c>
      <c r="Q77" s="60" t="s">
        <v>96</v>
      </c>
      <c r="R77" s="60">
        <v>1</v>
      </c>
      <c r="S77" s="60">
        <v>10000</v>
      </c>
      <c r="T77" s="60"/>
      <c r="U77" s="78" t="s">
        <v>521</v>
      </c>
      <c r="V77" s="59" t="s">
        <v>500</v>
      </c>
      <c r="W77" s="59"/>
      <c r="X77" s="59" t="s">
        <v>500</v>
      </c>
      <c r="Y77" s="62"/>
    </row>
    <row r="78" spans="1:25" s="57" customFormat="1" ht="63.6" customHeight="1" x14ac:dyDescent="0.25">
      <c r="A78" s="126">
        <f t="shared" si="83"/>
        <v>5</v>
      </c>
      <c r="B78" s="126">
        <f>B77</f>
        <v>11</v>
      </c>
      <c r="C78" s="129" t="str">
        <f>CHAR(CODE(C77)+1)</f>
        <v>b</v>
      </c>
      <c r="D78" s="126" t="str">
        <f t="shared" si="84"/>
        <v>5-11b</v>
      </c>
      <c r="E78" s="59" t="s">
        <v>106</v>
      </c>
      <c r="F78" s="59" t="s">
        <v>15</v>
      </c>
      <c r="G78" s="60" t="s">
        <v>509</v>
      </c>
      <c r="H78" s="59" t="s">
        <v>510</v>
      </c>
      <c r="I78" s="59" t="s">
        <v>511</v>
      </c>
      <c r="J78" s="59"/>
      <c r="K78" s="59"/>
      <c r="L78" s="57" t="s">
        <v>493</v>
      </c>
      <c r="M78" s="61" t="s">
        <v>513</v>
      </c>
      <c r="N78" s="61" t="s">
        <v>431</v>
      </c>
      <c r="O78" s="62" t="s">
        <v>124</v>
      </c>
      <c r="P78" s="59" t="s">
        <v>515</v>
      </c>
      <c r="Q78" s="60" t="s">
        <v>96</v>
      </c>
      <c r="R78" s="60">
        <v>1</v>
      </c>
      <c r="S78" s="60">
        <v>10000</v>
      </c>
      <c r="T78" s="60"/>
      <c r="U78" s="78" t="s">
        <v>521</v>
      </c>
      <c r="V78" s="59" t="s">
        <v>500</v>
      </c>
      <c r="W78" s="59"/>
      <c r="X78" s="59" t="s">
        <v>498</v>
      </c>
      <c r="Y78" s="62"/>
    </row>
    <row r="79" spans="1:25" s="57" customFormat="1" ht="63.6" customHeight="1" x14ac:dyDescent="0.25">
      <c r="A79" s="126">
        <f t="shared" ref="A79" si="85">A78</f>
        <v>5</v>
      </c>
      <c r="B79" s="126">
        <f>B78</f>
        <v>11</v>
      </c>
      <c r="C79" s="129" t="str">
        <f>CHAR(CODE(C78)+1)</f>
        <v>c</v>
      </c>
      <c r="D79" s="126" t="str">
        <f t="shared" ref="D79" si="86">A79&amp;"-"&amp;B79&amp;C79</f>
        <v>5-11c</v>
      </c>
      <c r="E79" s="59" t="s">
        <v>106</v>
      </c>
      <c r="F79" s="59" t="s">
        <v>15</v>
      </c>
      <c r="G79" s="60" t="s">
        <v>509</v>
      </c>
      <c r="H79" s="59" t="s">
        <v>517</v>
      </c>
      <c r="I79" s="59" t="s">
        <v>518</v>
      </c>
      <c r="J79" s="59"/>
      <c r="K79" s="59"/>
      <c r="L79" s="57" t="s">
        <v>493</v>
      </c>
      <c r="M79" s="61" t="s">
        <v>519</v>
      </c>
      <c r="N79" s="61" t="s">
        <v>112</v>
      </c>
      <c r="O79" s="62" t="s">
        <v>122</v>
      </c>
      <c r="P79" s="59" t="s">
        <v>520</v>
      </c>
      <c r="Q79" s="60" t="s">
        <v>96</v>
      </c>
      <c r="R79" s="60">
        <v>1</v>
      </c>
      <c r="S79" s="60">
        <v>10000</v>
      </c>
      <c r="T79" s="60"/>
      <c r="U79" s="78" t="s">
        <v>522</v>
      </c>
      <c r="V79" s="59"/>
      <c r="W79" s="59"/>
      <c r="X79" s="59" t="s">
        <v>498</v>
      </c>
      <c r="Y79" s="62"/>
    </row>
    <row r="80" spans="1:25" s="57" customFormat="1" ht="63.6" customHeight="1" x14ac:dyDescent="0.25">
      <c r="A80" s="126">
        <f t="shared" ref="A80:A82" si="87">A79</f>
        <v>5</v>
      </c>
      <c r="B80" s="126">
        <f>B79</f>
        <v>11</v>
      </c>
      <c r="C80" s="129" t="str">
        <f>CHAR(CODE(C79)+1)</f>
        <v>d</v>
      </c>
      <c r="D80" s="126" t="str">
        <f t="shared" ref="D80:D85" si="88">A80&amp;"-"&amp;B80&amp;C80</f>
        <v>5-11d</v>
      </c>
      <c r="E80" s="59" t="s">
        <v>106</v>
      </c>
      <c r="F80" s="59" t="s">
        <v>15</v>
      </c>
      <c r="G80" s="60" t="s">
        <v>523</v>
      </c>
      <c r="H80" s="59" t="s">
        <v>524</v>
      </c>
      <c r="I80" s="59" t="s">
        <v>525</v>
      </c>
      <c r="J80" s="59"/>
      <c r="K80" s="59"/>
      <c r="L80" s="57" t="s">
        <v>493</v>
      </c>
      <c r="M80" s="61" t="s">
        <v>526</v>
      </c>
      <c r="N80" s="61" t="s">
        <v>112</v>
      </c>
      <c r="O80" s="62" t="s">
        <v>122</v>
      </c>
      <c r="P80" s="59" t="s">
        <v>527</v>
      </c>
      <c r="Q80" s="60" t="s">
        <v>96</v>
      </c>
      <c r="R80" s="60">
        <v>1</v>
      </c>
      <c r="S80" s="60">
        <v>10000</v>
      </c>
      <c r="T80" s="60"/>
      <c r="U80" s="78" t="s">
        <v>522</v>
      </c>
      <c r="V80" s="59" t="s">
        <v>529</v>
      </c>
      <c r="W80" s="59" t="s">
        <v>529</v>
      </c>
      <c r="X80" s="59" t="s">
        <v>528</v>
      </c>
      <c r="Y80" s="62"/>
    </row>
    <row r="81" spans="1:25" s="57" customFormat="1" ht="63.6" customHeight="1" x14ac:dyDescent="0.25">
      <c r="A81" s="126">
        <f t="shared" si="87"/>
        <v>5</v>
      </c>
      <c r="B81" s="126">
        <f>B80</f>
        <v>11</v>
      </c>
      <c r="C81" s="129" t="str">
        <f>CHAR(CODE(C80)+1)</f>
        <v>e</v>
      </c>
      <c r="D81" s="126" t="str">
        <f t="shared" ref="D81:D82" si="89">A81&amp;"-"&amp;B81&amp;C81</f>
        <v>5-11e</v>
      </c>
      <c r="E81" s="59" t="s">
        <v>106</v>
      </c>
      <c r="F81" s="59" t="s">
        <v>15</v>
      </c>
      <c r="G81" s="60" t="s">
        <v>509</v>
      </c>
      <c r="H81" s="59" t="s">
        <v>510</v>
      </c>
      <c r="I81" s="59" t="s">
        <v>968</v>
      </c>
      <c r="J81" s="59"/>
      <c r="K81" s="59"/>
      <c r="L81" s="57" t="s">
        <v>493</v>
      </c>
      <c r="M81" s="61" t="s">
        <v>969</v>
      </c>
      <c r="N81" s="61" t="s">
        <v>431</v>
      </c>
      <c r="O81" s="62" t="s">
        <v>122</v>
      </c>
      <c r="P81" s="59" t="s">
        <v>970</v>
      </c>
      <c r="Q81" s="60" t="s">
        <v>96</v>
      </c>
      <c r="R81" s="60">
        <v>1</v>
      </c>
      <c r="S81" s="60">
        <v>10000</v>
      </c>
      <c r="T81" s="60"/>
      <c r="U81" s="78" t="s">
        <v>521</v>
      </c>
      <c r="V81" s="59" t="s">
        <v>500</v>
      </c>
      <c r="W81" s="59" t="s">
        <v>500</v>
      </c>
      <c r="Y81" s="62"/>
    </row>
    <row r="82" spans="1:25" s="57" customFormat="1" ht="63.6" customHeight="1" x14ac:dyDescent="0.25">
      <c r="A82" s="126">
        <f t="shared" si="87"/>
        <v>5</v>
      </c>
      <c r="B82" s="126">
        <f>B81</f>
        <v>11</v>
      </c>
      <c r="C82" s="129" t="str">
        <f>CHAR(CODE(C81)+1)</f>
        <v>f</v>
      </c>
      <c r="D82" s="126" t="str">
        <f t="shared" si="89"/>
        <v>5-11f</v>
      </c>
      <c r="E82" s="59" t="s">
        <v>106</v>
      </c>
      <c r="F82" s="59" t="s">
        <v>15</v>
      </c>
      <c r="G82" s="60" t="s">
        <v>509</v>
      </c>
      <c r="H82" s="59" t="s">
        <v>517</v>
      </c>
      <c r="I82" s="59" t="s">
        <v>518</v>
      </c>
      <c r="J82" s="59"/>
      <c r="K82" s="59"/>
      <c r="L82" s="57" t="s">
        <v>493</v>
      </c>
      <c r="M82" s="61" t="s">
        <v>971</v>
      </c>
      <c r="N82" s="61" t="s">
        <v>112</v>
      </c>
      <c r="O82" s="62" t="s">
        <v>124</v>
      </c>
      <c r="P82" s="59" t="s">
        <v>972</v>
      </c>
      <c r="Q82" s="60" t="s">
        <v>96</v>
      </c>
      <c r="R82" s="60">
        <v>1</v>
      </c>
      <c r="S82" s="60">
        <v>10000</v>
      </c>
      <c r="T82" s="60"/>
      <c r="U82" s="78" t="s">
        <v>522</v>
      </c>
      <c r="V82" s="59"/>
      <c r="W82" s="59"/>
      <c r="X82" s="59" t="s">
        <v>500</v>
      </c>
      <c r="Y82" s="62"/>
    </row>
    <row r="83" spans="1:25" s="79" customFormat="1" ht="144.6" customHeight="1" x14ac:dyDescent="0.25">
      <c r="A83" s="132">
        <v>5</v>
      </c>
      <c r="B83" s="132">
        <v>12</v>
      </c>
      <c r="C83" s="133" t="s">
        <v>110</v>
      </c>
      <c r="D83" s="132" t="str">
        <f t="shared" si="88"/>
        <v>5-12a</v>
      </c>
      <c r="E83" s="26"/>
      <c r="F83" s="26"/>
      <c r="G83" s="19" t="s">
        <v>557</v>
      </c>
      <c r="H83" s="80" t="s">
        <v>531</v>
      </c>
      <c r="I83" s="26" t="s">
        <v>532</v>
      </c>
      <c r="J83" s="26"/>
      <c r="K83" s="26"/>
      <c r="L83" s="79" t="s">
        <v>396</v>
      </c>
      <c r="M83" s="25" t="s">
        <v>536</v>
      </c>
      <c r="N83" s="25" t="s">
        <v>112</v>
      </c>
      <c r="O83" s="20" t="s">
        <v>122</v>
      </c>
      <c r="P83" s="26" t="s">
        <v>533</v>
      </c>
      <c r="Q83" s="19"/>
      <c r="R83" s="19"/>
      <c r="S83" s="19"/>
      <c r="T83" s="19"/>
      <c r="U83" s="48" t="s">
        <v>534</v>
      </c>
      <c r="V83" s="33" t="s">
        <v>535</v>
      </c>
      <c r="W83" s="33"/>
      <c r="X83" s="33" t="s">
        <v>535</v>
      </c>
      <c r="Y83" s="20"/>
    </row>
    <row r="84" spans="1:25" s="79" customFormat="1" ht="271.2" customHeight="1" x14ac:dyDescent="0.25">
      <c r="A84" s="132">
        <v>5</v>
      </c>
      <c r="B84" s="132">
        <f>B83</f>
        <v>12</v>
      </c>
      <c r="C84" s="133" t="str">
        <f t="shared" ref="C84:C85" si="90">CHAR(CODE(C83)+1)</f>
        <v>b</v>
      </c>
      <c r="D84" s="132" t="str">
        <f t="shared" si="88"/>
        <v>5-12b</v>
      </c>
      <c r="E84" s="26"/>
      <c r="F84" s="26"/>
      <c r="G84" s="19" t="s">
        <v>557</v>
      </c>
      <c r="H84" s="80" t="s">
        <v>531</v>
      </c>
      <c r="I84" s="26" t="s">
        <v>532</v>
      </c>
      <c r="J84" s="26"/>
      <c r="K84" s="26"/>
      <c r="L84" s="79" t="s">
        <v>396</v>
      </c>
      <c r="M84" s="25" t="s">
        <v>537</v>
      </c>
      <c r="N84" s="25" t="s">
        <v>112</v>
      </c>
      <c r="O84" s="20" t="s">
        <v>122</v>
      </c>
      <c r="P84" s="26" t="s">
        <v>533</v>
      </c>
      <c r="Q84" s="19"/>
      <c r="R84" s="19"/>
      <c r="S84" s="19"/>
      <c r="T84" s="19"/>
      <c r="U84" s="48" t="s">
        <v>534</v>
      </c>
      <c r="V84" s="33" t="s">
        <v>538</v>
      </c>
      <c r="W84" s="33"/>
      <c r="X84" s="33" t="s">
        <v>535</v>
      </c>
      <c r="Y84" s="20"/>
    </row>
    <row r="85" spans="1:25" s="79" customFormat="1" ht="136.80000000000001" customHeight="1" x14ac:dyDescent="0.25">
      <c r="A85" s="132">
        <v>5</v>
      </c>
      <c r="B85" s="132">
        <f t="shared" ref="B85" si="91">B84</f>
        <v>12</v>
      </c>
      <c r="C85" s="133" t="str">
        <f t="shared" si="90"/>
        <v>c</v>
      </c>
      <c r="D85" s="132" t="str">
        <f t="shared" si="88"/>
        <v>5-12c</v>
      </c>
      <c r="E85" s="26"/>
      <c r="F85" s="26"/>
      <c r="G85" s="19" t="s">
        <v>557</v>
      </c>
      <c r="H85" s="80" t="s">
        <v>531</v>
      </c>
      <c r="I85" s="26" t="s">
        <v>532</v>
      </c>
      <c r="J85" s="26"/>
      <c r="K85" s="26"/>
      <c r="L85" s="79" t="s">
        <v>396</v>
      </c>
      <c r="M85" s="25" t="s">
        <v>539</v>
      </c>
      <c r="N85" s="25" t="s">
        <v>112</v>
      </c>
      <c r="O85" s="20" t="s">
        <v>124</v>
      </c>
      <c r="P85" s="26" t="s">
        <v>540</v>
      </c>
      <c r="Q85" s="19"/>
      <c r="R85" s="19"/>
      <c r="S85" s="19"/>
      <c r="T85" s="19"/>
      <c r="U85" s="48" t="s">
        <v>541</v>
      </c>
      <c r="V85" s="33" t="s">
        <v>542</v>
      </c>
      <c r="W85" s="33"/>
      <c r="X85" s="33" t="s">
        <v>542</v>
      </c>
      <c r="Y85" s="20"/>
    </row>
    <row r="86" spans="1:25" s="79" customFormat="1" ht="293.39999999999998" customHeight="1" x14ac:dyDescent="0.25">
      <c r="A86" s="132">
        <v>5</v>
      </c>
      <c r="B86" s="132">
        <f t="shared" ref="B86" si="92">B85</f>
        <v>12</v>
      </c>
      <c r="C86" s="133" t="str">
        <f t="shared" ref="C86" si="93">CHAR(CODE(C85)+1)</f>
        <v>d</v>
      </c>
      <c r="D86" s="132" t="str">
        <f t="shared" ref="D86" si="94">A86&amp;"-"&amp;B86&amp;C86</f>
        <v>5-12d</v>
      </c>
      <c r="E86" s="26"/>
      <c r="F86" s="26"/>
      <c r="G86" s="19" t="s">
        <v>557</v>
      </c>
      <c r="H86" s="80" t="s">
        <v>531</v>
      </c>
      <c r="I86" s="26" t="s">
        <v>532</v>
      </c>
      <c r="J86" s="26"/>
      <c r="K86" s="26"/>
      <c r="L86" s="79" t="s">
        <v>396</v>
      </c>
      <c r="M86" s="25" t="s">
        <v>974</v>
      </c>
      <c r="N86" s="25" t="s">
        <v>112</v>
      </c>
      <c r="O86" s="20" t="s">
        <v>124</v>
      </c>
      <c r="P86" s="26" t="s">
        <v>543</v>
      </c>
      <c r="Q86" s="19"/>
      <c r="R86" s="19"/>
      <c r="S86" s="19"/>
      <c r="T86" s="19"/>
      <c r="U86" s="48" t="s">
        <v>544</v>
      </c>
      <c r="V86" s="33" t="s">
        <v>975</v>
      </c>
      <c r="W86" s="33"/>
      <c r="X86" s="33" t="s">
        <v>976</v>
      </c>
      <c r="Y86" s="20"/>
    </row>
    <row r="87" spans="1:25" s="79" customFormat="1" ht="216" customHeight="1" x14ac:dyDescent="0.25">
      <c r="A87" s="132">
        <v>5</v>
      </c>
      <c r="B87" s="132">
        <f>B86</f>
        <v>12</v>
      </c>
      <c r="C87" s="133" t="str">
        <f>CHAR(CODE(C86)+1)</f>
        <v>e</v>
      </c>
      <c r="D87" s="132" t="str">
        <f t="shared" ref="D87" si="95">A87&amp;"-"&amp;B87&amp;C87</f>
        <v>5-12e</v>
      </c>
      <c r="E87" s="26"/>
      <c r="F87" s="26"/>
      <c r="G87" s="19" t="s">
        <v>557</v>
      </c>
      <c r="H87" s="80" t="s">
        <v>531</v>
      </c>
      <c r="I87" s="26" t="s">
        <v>532</v>
      </c>
      <c r="J87" s="26"/>
      <c r="K87" s="26"/>
      <c r="L87" s="79" t="s">
        <v>396</v>
      </c>
      <c r="M87" s="25" t="s">
        <v>978</v>
      </c>
      <c r="N87" s="25" t="s">
        <v>112</v>
      </c>
      <c r="O87" s="20" t="s">
        <v>122</v>
      </c>
      <c r="P87" s="26" t="s">
        <v>979</v>
      </c>
      <c r="Q87" s="19"/>
      <c r="R87" s="19"/>
      <c r="S87" s="19"/>
      <c r="T87" s="19"/>
      <c r="U87" s="48" t="s">
        <v>544</v>
      </c>
      <c r="V87" s="33" t="s">
        <v>975</v>
      </c>
      <c r="W87" s="33"/>
      <c r="X87" s="33" t="s">
        <v>977</v>
      </c>
      <c r="Y87" s="20"/>
    </row>
    <row r="88" spans="1:25" s="79" customFormat="1" ht="136.80000000000001" customHeight="1" x14ac:dyDescent="0.25">
      <c r="A88" s="132">
        <v>5</v>
      </c>
      <c r="B88" s="132">
        <v>12</v>
      </c>
      <c r="C88" s="133" t="s">
        <v>1065</v>
      </c>
      <c r="D88" s="132" t="str">
        <f t="shared" ref="D88" si="96">A88&amp;"-"&amp;B88&amp;C88</f>
        <v>5-12f</v>
      </c>
      <c r="E88" s="26"/>
      <c r="F88" s="26"/>
      <c r="G88" s="19" t="s">
        <v>545</v>
      </c>
      <c r="H88" s="80" t="s">
        <v>546</v>
      </c>
      <c r="I88" s="26" t="s">
        <v>547</v>
      </c>
      <c r="J88" s="26"/>
      <c r="K88" s="26"/>
      <c r="L88" s="79" t="s">
        <v>144</v>
      </c>
      <c r="M88" s="25" t="s">
        <v>548</v>
      </c>
      <c r="N88" s="25" t="s">
        <v>431</v>
      </c>
      <c r="O88" s="20" t="s">
        <v>122</v>
      </c>
      <c r="P88" s="26" t="s">
        <v>973</v>
      </c>
      <c r="Q88" s="19"/>
      <c r="R88" s="19"/>
      <c r="S88" s="19"/>
      <c r="T88" s="19"/>
      <c r="U88" s="48" t="s">
        <v>550</v>
      </c>
      <c r="V88" s="33" t="s">
        <v>551</v>
      </c>
      <c r="W88" s="33" t="s">
        <v>551</v>
      </c>
      <c r="X88" s="33"/>
      <c r="Y88" s="20"/>
    </row>
    <row r="89" spans="1:25" s="79" customFormat="1" ht="136.80000000000001" customHeight="1" x14ac:dyDescent="0.25">
      <c r="A89" s="132">
        <v>5</v>
      </c>
      <c r="B89" s="132">
        <f t="shared" ref="B89" si="97">B88</f>
        <v>12</v>
      </c>
      <c r="C89" s="133" t="s">
        <v>1066</v>
      </c>
      <c r="D89" s="132" t="str">
        <f t="shared" ref="D89:D100" si="98">A89&amp;"-"&amp;B89&amp;C89</f>
        <v>5-12g</v>
      </c>
      <c r="E89" s="26"/>
      <c r="F89" s="26"/>
      <c r="G89" s="19" t="s">
        <v>545</v>
      </c>
      <c r="H89" s="80" t="s">
        <v>546</v>
      </c>
      <c r="I89" s="26" t="s">
        <v>547</v>
      </c>
      <c r="J89" s="26"/>
      <c r="K89" s="26"/>
      <c r="L89" s="79" t="s">
        <v>144</v>
      </c>
      <c r="M89" s="25" t="s">
        <v>549</v>
      </c>
      <c r="N89" s="25" t="s">
        <v>431</v>
      </c>
      <c r="O89" s="20" t="s">
        <v>124</v>
      </c>
      <c r="P89" s="26" t="s">
        <v>973</v>
      </c>
      <c r="Q89" s="19"/>
      <c r="R89" s="19"/>
      <c r="S89" s="19"/>
      <c r="T89" s="19"/>
      <c r="U89" s="48" t="s">
        <v>550</v>
      </c>
      <c r="V89" s="33" t="s">
        <v>551</v>
      </c>
      <c r="W89" s="33" t="s">
        <v>552</v>
      </c>
      <c r="X89" s="33"/>
      <c r="Y89" s="20"/>
    </row>
    <row r="90" spans="1:25" s="57" customFormat="1" ht="132.6" customHeight="1" x14ac:dyDescent="0.25">
      <c r="A90" s="126">
        <f>A89</f>
        <v>5</v>
      </c>
      <c r="B90" s="126">
        <v>13</v>
      </c>
      <c r="C90" s="129" t="s">
        <v>110</v>
      </c>
      <c r="D90" s="126" t="str">
        <f t="shared" si="98"/>
        <v>5-13a</v>
      </c>
      <c r="E90" s="59" t="s">
        <v>106</v>
      </c>
      <c r="F90" s="59" t="s">
        <v>15</v>
      </c>
      <c r="G90" s="59" t="s">
        <v>557</v>
      </c>
      <c r="H90" s="59" t="s">
        <v>553</v>
      </c>
      <c r="I90" s="59" t="s">
        <v>435</v>
      </c>
      <c r="J90" s="59"/>
      <c r="K90" s="59" t="s">
        <v>187</v>
      </c>
      <c r="L90" s="57" t="s">
        <v>177</v>
      </c>
      <c r="M90" s="61" t="s">
        <v>554</v>
      </c>
      <c r="N90" s="61" t="s">
        <v>112</v>
      </c>
      <c r="O90" s="62" t="s">
        <v>122</v>
      </c>
      <c r="P90" s="59" t="s">
        <v>559</v>
      </c>
      <c r="Q90" s="60" t="s">
        <v>96</v>
      </c>
      <c r="R90" s="60">
        <v>1</v>
      </c>
      <c r="S90" s="60">
        <v>10000</v>
      </c>
      <c r="T90" s="60"/>
      <c r="U90" s="78" t="s">
        <v>447</v>
      </c>
      <c r="V90" s="59"/>
      <c r="W90" s="59"/>
      <c r="X90" s="59" t="s">
        <v>556</v>
      </c>
      <c r="Y90" s="62"/>
    </row>
    <row r="91" spans="1:25" s="57" customFormat="1" ht="63.6" customHeight="1" x14ac:dyDescent="0.25">
      <c r="A91" s="126">
        <f t="shared" ref="A91:A100" si="99">A90</f>
        <v>5</v>
      </c>
      <c r="B91" s="126">
        <f>B90</f>
        <v>13</v>
      </c>
      <c r="C91" s="129" t="str">
        <f>CHAR(CODE(C90)+1)</f>
        <v>b</v>
      </c>
      <c r="D91" s="126" t="str">
        <f t="shared" si="98"/>
        <v>5-13b</v>
      </c>
      <c r="E91" s="59" t="s">
        <v>106</v>
      </c>
      <c r="F91" s="59" t="s">
        <v>15</v>
      </c>
      <c r="G91" s="60" t="str">
        <f t="shared" ref="G91:G97" si="100">G90</f>
        <v>Table G3.1 Section 5e, baseline column</v>
      </c>
      <c r="H91" s="59" t="s">
        <v>553</v>
      </c>
      <c r="I91" s="59" t="s">
        <v>435</v>
      </c>
      <c r="J91" s="59" t="s">
        <v>188</v>
      </c>
      <c r="K91" s="59" t="s">
        <v>187</v>
      </c>
      <c r="L91" s="57" t="s">
        <v>177</v>
      </c>
      <c r="M91" s="61" t="s">
        <v>558</v>
      </c>
      <c r="N91" s="61" t="s">
        <v>112</v>
      </c>
      <c r="O91" s="62" t="s">
        <v>122</v>
      </c>
      <c r="P91" s="59" t="s">
        <v>560</v>
      </c>
      <c r="Q91" s="60" t="s">
        <v>96</v>
      </c>
      <c r="R91" s="60">
        <v>1</v>
      </c>
      <c r="S91" s="60">
        <v>10000</v>
      </c>
      <c r="T91" s="60"/>
      <c r="U91" s="78" t="s">
        <v>447</v>
      </c>
      <c r="V91" s="59"/>
      <c r="W91" s="59"/>
      <c r="X91" s="59" t="s">
        <v>562</v>
      </c>
      <c r="Y91" s="62"/>
    </row>
    <row r="92" spans="1:25" s="57" customFormat="1" ht="63.6" customHeight="1" x14ac:dyDescent="0.25">
      <c r="A92" s="126">
        <f t="shared" si="99"/>
        <v>5</v>
      </c>
      <c r="B92" s="126">
        <f>B91</f>
        <v>13</v>
      </c>
      <c r="C92" s="129" t="str">
        <f>CHAR(CODE(C91)+1)</f>
        <v>c</v>
      </c>
      <c r="D92" s="126" t="str">
        <f t="shared" si="98"/>
        <v>5-13c</v>
      </c>
      <c r="E92" s="59" t="s">
        <v>106</v>
      </c>
      <c r="F92" s="59" t="s">
        <v>15</v>
      </c>
      <c r="G92" s="60" t="str">
        <f t="shared" si="100"/>
        <v>Table G3.1 Section 5e, baseline column</v>
      </c>
      <c r="H92" s="59" t="s">
        <v>462</v>
      </c>
      <c r="I92" s="59" t="s">
        <v>435</v>
      </c>
      <c r="J92" s="59" t="s">
        <v>188</v>
      </c>
      <c r="K92" s="59" t="s">
        <v>187</v>
      </c>
      <c r="L92" s="57" t="s">
        <v>177</v>
      </c>
      <c r="M92" s="61" t="s">
        <v>454</v>
      </c>
      <c r="N92" s="61" t="s">
        <v>112</v>
      </c>
      <c r="O92" s="62" t="s">
        <v>122</v>
      </c>
      <c r="P92" s="59" t="s">
        <v>565</v>
      </c>
      <c r="Q92" s="60" t="s">
        <v>96</v>
      </c>
      <c r="R92" s="60">
        <v>1</v>
      </c>
      <c r="S92" s="60">
        <v>10000</v>
      </c>
      <c r="T92" s="60"/>
      <c r="U92" s="78" t="s">
        <v>455</v>
      </c>
      <c r="V92" s="59"/>
      <c r="W92" s="59"/>
      <c r="X92" s="59" t="s">
        <v>564</v>
      </c>
      <c r="Y92" s="62"/>
    </row>
    <row r="93" spans="1:25" s="57" customFormat="1" ht="63.6" customHeight="1" x14ac:dyDescent="0.25">
      <c r="A93" s="126">
        <f t="shared" si="99"/>
        <v>5</v>
      </c>
      <c r="B93" s="126">
        <f>B92</f>
        <v>13</v>
      </c>
      <c r="C93" s="129" t="str">
        <f>CHAR(CODE(C92)+1)</f>
        <v>d</v>
      </c>
      <c r="D93" s="126" t="str">
        <f t="shared" si="98"/>
        <v>5-13d</v>
      </c>
      <c r="E93" s="59" t="s">
        <v>106</v>
      </c>
      <c r="F93" s="59" t="s">
        <v>15</v>
      </c>
      <c r="G93" s="60" t="str">
        <f t="shared" si="100"/>
        <v>Table G3.1 Section 5e, baseline column</v>
      </c>
      <c r="H93" s="59" t="s">
        <v>464</v>
      </c>
      <c r="I93" s="59" t="s">
        <v>465</v>
      </c>
      <c r="J93" s="59" t="s">
        <v>188</v>
      </c>
      <c r="K93" s="59"/>
      <c r="L93" s="57" t="s">
        <v>177</v>
      </c>
      <c r="M93" s="61" t="s">
        <v>459</v>
      </c>
      <c r="N93" s="61" t="s">
        <v>112</v>
      </c>
      <c r="O93" s="62" t="s">
        <v>122</v>
      </c>
      <c r="P93" s="59" t="s">
        <v>566</v>
      </c>
      <c r="Q93" s="60" t="s">
        <v>96</v>
      </c>
      <c r="R93" s="60">
        <v>1</v>
      </c>
      <c r="S93" s="60">
        <v>10000</v>
      </c>
      <c r="T93" s="60"/>
      <c r="U93" s="78" t="s">
        <v>455</v>
      </c>
      <c r="V93" s="59" t="s">
        <v>567</v>
      </c>
      <c r="W93" s="59"/>
      <c r="X93" s="59" t="s">
        <v>567</v>
      </c>
      <c r="Y93" s="62"/>
    </row>
    <row r="94" spans="1:25" s="57" customFormat="1" ht="154.19999999999999" customHeight="1" x14ac:dyDescent="0.25">
      <c r="A94" s="126">
        <f t="shared" si="99"/>
        <v>5</v>
      </c>
      <c r="B94" s="126">
        <f>B93</f>
        <v>13</v>
      </c>
      <c r="C94" s="129" t="str">
        <f>CHAR(CODE(C93)+1)</f>
        <v>e</v>
      </c>
      <c r="D94" s="126" t="str">
        <f t="shared" si="98"/>
        <v>5-13e</v>
      </c>
      <c r="E94" s="59" t="s">
        <v>106</v>
      </c>
      <c r="F94" s="59" t="s">
        <v>15</v>
      </c>
      <c r="G94" s="60" t="str">
        <f t="shared" si="100"/>
        <v>Table G3.1 Section 5e, baseline column</v>
      </c>
      <c r="H94" s="59" t="s">
        <v>463</v>
      </c>
      <c r="I94" s="59" t="s">
        <v>466</v>
      </c>
      <c r="J94" s="59"/>
      <c r="K94" s="59"/>
      <c r="L94" s="57" t="s">
        <v>177</v>
      </c>
      <c r="M94" s="61" t="s">
        <v>568</v>
      </c>
      <c r="N94" s="61" t="s">
        <v>431</v>
      </c>
      <c r="O94" s="62" t="s">
        <v>122</v>
      </c>
      <c r="P94" s="59" t="s">
        <v>569</v>
      </c>
      <c r="Q94" s="60" t="s">
        <v>96</v>
      </c>
      <c r="R94" s="60">
        <v>1</v>
      </c>
      <c r="S94" s="60">
        <v>10000</v>
      </c>
      <c r="T94" s="60"/>
      <c r="U94" s="78" t="s">
        <v>496</v>
      </c>
      <c r="V94" s="59" t="s">
        <v>570</v>
      </c>
      <c r="W94" s="59"/>
      <c r="X94" s="59" t="s">
        <v>570</v>
      </c>
      <c r="Y94" s="62"/>
    </row>
    <row r="95" spans="1:25" s="52" customFormat="1" ht="84.6" customHeight="1" x14ac:dyDescent="0.25">
      <c r="A95" s="127">
        <f t="shared" si="99"/>
        <v>5</v>
      </c>
      <c r="B95" s="127">
        <v>14</v>
      </c>
      <c r="C95" s="128" t="s">
        <v>110</v>
      </c>
      <c r="D95" s="127" t="str">
        <f t="shared" si="98"/>
        <v>5-14a</v>
      </c>
      <c r="E95" s="21" t="s">
        <v>106</v>
      </c>
      <c r="F95" s="21" t="s">
        <v>15</v>
      </c>
      <c r="G95" s="23" t="str">
        <f t="shared" si="100"/>
        <v>Table G3.1 Section 5e, baseline column</v>
      </c>
      <c r="H95" s="21" t="s">
        <v>58</v>
      </c>
      <c r="I95" s="21" t="s">
        <v>469</v>
      </c>
      <c r="J95" s="21" t="s">
        <v>188</v>
      </c>
      <c r="K95" s="21" t="s">
        <v>187</v>
      </c>
      <c r="L95" s="52" t="s">
        <v>571</v>
      </c>
      <c r="M95" s="22" t="s">
        <v>574</v>
      </c>
      <c r="N95" s="22" t="s">
        <v>112</v>
      </c>
      <c r="O95" s="24" t="s">
        <v>122</v>
      </c>
      <c r="P95" s="21" t="s">
        <v>572</v>
      </c>
      <c r="Q95" s="23" t="s">
        <v>96</v>
      </c>
      <c r="R95" s="23">
        <v>1</v>
      </c>
      <c r="S95" s="23">
        <v>10000</v>
      </c>
      <c r="T95" s="23"/>
      <c r="U95" s="77" t="s">
        <v>575</v>
      </c>
      <c r="V95" s="21"/>
      <c r="W95" s="21"/>
      <c r="X95" s="21" t="s">
        <v>576</v>
      </c>
      <c r="Y95" s="24"/>
    </row>
    <row r="96" spans="1:25" s="52" customFormat="1" ht="73.8" customHeight="1" x14ac:dyDescent="0.25">
      <c r="A96" s="127">
        <f t="shared" ref="A96" si="101">A95</f>
        <v>5</v>
      </c>
      <c r="B96" s="127">
        <v>14</v>
      </c>
      <c r="C96" s="128" t="s">
        <v>110</v>
      </c>
      <c r="D96" s="127" t="str">
        <f t="shared" ref="D96" si="102">A96&amp;"-"&amp;B96&amp;C96</f>
        <v>5-14a</v>
      </c>
      <c r="E96" s="21" t="s">
        <v>106</v>
      </c>
      <c r="F96" s="21" t="s">
        <v>15</v>
      </c>
      <c r="G96" s="23" t="str">
        <f t="shared" si="100"/>
        <v>Table G3.1 Section 5e, baseline column</v>
      </c>
      <c r="H96" s="21" t="s">
        <v>58</v>
      </c>
      <c r="I96" s="21" t="s">
        <v>469</v>
      </c>
      <c r="J96" s="21" t="s">
        <v>188</v>
      </c>
      <c r="K96" s="21" t="s">
        <v>187</v>
      </c>
      <c r="L96" s="52" t="s">
        <v>571</v>
      </c>
      <c r="M96" s="22" t="s">
        <v>579</v>
      </c>
      <c r="N96" s="22" t="s">
        <v>112</v>
      </c>
      <c r="O96" s="24" t="s">
        <v>122</v>
      </c>
      <c r="P96" s="21" t="s">
        <v>577</v>
      </c>
      <c r="Q96" s="23" t="s">
        <v>96</v>
      </c>
      <c r="R96" s="23">
        <v>1</v>
      </c>
      <c r="S96" s="23">
        <v>10000</v>
      </c>
      <c r="T96" s="23"/>
      <c r="U96" s="77" t="s">
        <v>575</v>
      </c>
      <c r="V96" s="21"/>
      <c r="W96" s="21"/>
      <c r="X96" s="21" t="s">
        <v>578</v>
      </c>
      <c r="Y96" s="24"/>
    </row>
    <row r="97" spans="1:25" s="52" customFormat="1" ht="63.6" customHeight="1" x14ac:dyDescent="0.25">
      <c r="A97" s="127">
        <f t="shared" ref="A97" si="103">A96</f>
        <v>5</v>
      </c>
      <c r="B97" s="127">
        <v>14</v>
      </c>
      <c r="C97" s="128" t="s">
        <v>110</v>
      </c>
      <c r="D97" s="127" t="str">
        <f t="shared" ref="D97" si="104">A97&amp;"-"&amp;B97&amp;C97</f>
        <v>5-14a</v>
      </c>
      <c r="E97" s="21" t="s">
        <v>106</v>
      </c>
      <c r="F97" s="21" t="s">
        <v>15</v>
      </c>
      <c r="G97" s="23" t="str">
        <f t="shared" si="100"/>
        <v>Table G3.1 Section 5e, baseline column</v>
      </c>
      <c r="H97" s="21" t="s">
        <v>58</v>
      </c>
      <c r="I97" s="21" t="s">
        <v>469</v>
      </c>
      <c r="J97" s="21" t="s">
        <v>188</v>
      </c>
      <c r="K97" s="21" t="s">
        <v>187</v>
      </c>
      <c r="L97" s="52" t="s">
        <v>571</v>
      </c>
      <c r="M97" s="22" t="s">
        <v>580</v>
      </c>
      <c r="N97" s="22" t="s">
        <v>112</v>
      </c>
      <c r="O97" s="24" t="s">
        <v>122</v>
      </c>
      <c r="P97" s="21" t="s">
        <v>582</v>
      </c>
      <c r="Q97" s="23" t="s">
        <v>96</v>
      </c>
      <c r="R97" s="23">
        <v>1</v>
      </c>
      <c r="S97" s="23">
        <v>10000</v>
      </c>
      <c r="T97" s="23"/>
      <c r="U97" s="77" t="s">
        <v>575</v>
      </c>
      <c r="V97" s="21"/>
      <c r="W97" s="21"/>
      <c r="X97" s="21" t="s">
        <v>581</v>
      </c>
      <c r="Y97" s="24"/>
    </row>
    <row r="98" spans="1:25" s="52" customFormat="1" ht="83.4" customHeight="1" x14ac:dyDescent="0.25">
      <c r="A98" s="127">
        <f>A96</f>
        <v>5</v>
      </c>
      <c r="B98" s="127">
        <f>B96</f>
        <v>14</v>
      </c>
      <c r="C98" s="128" t="str">
        <f>CHAR(CODE(C96)+1)</f>
        <v>b</v>
      </c>
      <c r="D98" s="127" t="str">
        <f t="shared" si="98"/>
        <v>5-14b</v>
      </c>
      <c r="E98" s="21" t="s">
        <v>106</v>
      </c>
      <c r="F98" s="21" t="s">
        <v>15</v>
      </c>
      <c r="G98" s="23" t="str">
        <f>G96</f>
        <v>Table G3.1 Section 5e, baseline column</v>
      </c>
      <c r="H98" s="21" t="s">
        <v>586</v>
      </c>
      <c r="I98" s="21" t="s">
        <v>435</v>
      </c>
      <c r="J98" s="21" t="s">
        <v>188</v>
      </c>
      <c r="K98" s="21" t="s">
        <v>187</v>
      </c>
      <c r="L98" s="52" t="s">
        <v>177</v>
      </c>
      <c r="M98" s="22" t="s">
        <v>587</v>
      </c>
      <c r="N98" s="22" t="s">
        <v>112</v>
      </c>
      <c r="O98" s="24" t="s">
        <v>122</v>
      </c>
      <c r="P98" s="21" t="s">
        <v>583</v>
      </c>
      <c r="Q98" s="23" t="s">
        <v>96</v>
      </c>
      <c r="R98" s="23">
        <v>1</v>
      </c>
      <c r="S98" s="23">
        <v>10000</v>
      </c>
      <c r="T98" s="23"/>
      <c r="U98" s="77" t="s">
        <v>584</v>
      </c>
      <c r="V98" s="21" t="s">
        <v>585</v>
      </c>
      <c r="W98" s="21"/>
      <c r="X98" s="21" t="s">
        <v>585</v>
      </c>
      <c r="Y98" s="24"/>
    </row>
    <row r="99" spans="1:25" s="52" customFormat="1" ht="83.4" customHeight="1" x14ac:dyDescent="0.25">
      <c r="A99" s="127">
        <f>A98</f>
        <v>5</v>
      </c>
      <c r="B99" s="127">
        <f>B98</f>
        <v>14</v>
      </c>
      <c r="C99" s="128" t="str">
        <f>CHAR(CODE(C98)+1)</f>
        <v>c</v>
      </c>
      <c r="D99" s="127" t="str">
        <f t="shared" si="98"/>
        <v>5-14c</v>
      </c>
      <c r="E99" s="21" t="s">
        <v>106</v>
      </c>
      <c r="F99" s="21" t="s">
        <v>15</v>
      </c>
      <c r="G99" s="23" t="str">
        <f>G98</f>
        <v>Table G3.1 Section 5e, baseline column</v>
      </c>
      <c r="H99" s="21" t="s">
        <v>591</v>
      </c>
      <c r="I99" s="21" t="s">
        <v>465</v>
      </c>
      <c r="J99" s="21" t="s">
        <v>188</v>
      </c>
      <c r="K99" s="21"/>
      <c r="L99" s="52" t="s">
        <v>177</v>
      </c>
      <c r="M99" s="22" t="s">
        <v>588</v>
      </c>
      <c r="N99" s="22" t="s">
        <v>112</v>
      </c>
      <c r="O99" s="24" t="s">
        <v>122</v>
      </c>
      <c r="P99" s="21" t="s">
        <v>589</v>
      </c>
      <c r="Q99" s="23" t="s">
        <v>96</v>
      </c>
      <c r="R99" s="23">
        <v>1</v>
      </c>
      <c r="S99" s="23">
        <v>10000</v>
      </c>
      <c r="T99" s="23"/>
      <c r="U99" s="77" t="s">
        <v>584</v>
      </c>
      <c r="V99" s="21" t="s">
        <v>585</v>
      </c>
      <c r="W99" s="21"/>
      <c r="X99" s="21" t="s">
        <v>590</v>
      </c>
      <c r="Y99" s="24"/>
    </row>
    <row r="100" spans="1:25" s="52" customFormat="1" ht="83.4" customHeight="1" x14ac:dyDescent="0.25">
      <c r="A100" s="127">
        <f t="shared" si="99"/>
        <v>5</v>
      </c>
      <c r="B100" s="127">
        <f>B99</f>
        <v>14</v>
      </c>
      <c r="C100" s="128" t="str">
        <f>CHAR(CODE(C99)+1)</f>
        <v>d</v>
      </c>
      <c r="D100" s="127" t="str">
        <f t="shared" si="98"/>
        <v>5-14d</v>
      </c>
      <c r="E100" s="21" t="s">
        <v>106</v>
      </c>
      <c r="F100" s="21" t="s">
        <v>15</v>
      </c>
      <c r="G100" s="23"/>
      <c r="H100" s="21" t="s">
        <v>592</v>
      </c>
      <c r="I100" s="21" t="s">
        <v>466</v>
      </c>
      <c r="J100" s="21" t="s">
        <v>188</v>
      </c>
      <c r="K100" s="21"/>
      <c r="L100" s="52" t="s">
        <v>177</v>
      </c>
      <c r="M100" s="22" t="s">
        <v>593</v>
      </c>
      <c r="N100" s="22" t="s">
        <v>431</v>
      </c>
      <c r="O100" s="24" t="s">
        <v>122</v>
      </c>
      <c r="P100" s="21" t="s">
        <v>486</v>
      </c>
      <c r="Q100" s="23" t="s">
        <v>96</v>
      </c>
      <c r="R100" s="23">
        <v>1</v>
      </c>
      <c r="S100" s="23">
        <v>10000</v>
      </c>
      <c r="T100" s="23"/>
      <c r="U100" s="77" t="s">
        <v>487</v>
      </c>
      <c r="V100" s="21" t="s">
        <v>570</v>
      </c>
      <c r="W100" s="21"/>
      <c r="X100" s="21" t="s">
        <v>570</v>
      </c>
      <c r="Y100" s="24"/>
    </row>
    <row r="101" spans="1:25" s="82" customFormat="1" ht="80.400000000000006" customHeight="1" x14ac:dyDescent="0.3">
      <c r="A101" s="130">
        <f t="shared" ref="A101" si="105">A100</f>
        <v>5</v>
      </c>
      <c r="B101" s="130">
        <v>15</v>
      </c>
      <c r="C101" s="131" t="s">
        <v>110</v>
      </c>
      <c r="D101" s="130" t="str">
        <f t="shared" ref="D101" si="106">A101&amp;"-"&amp;B101&amp;C101</f>
        <v>5-15a</v>
      </c>
      <c r="E101" s="83" t="s">
        <v>106</v>
      </c>
      <c r="F101" s="83" t="s">
        <v>15</v>
      </c>
      <c r="G101" s="34" t="s">
        <v>34</v>
      </c>
      <c r="H101" s="83" t="s">
        <v>597</v>
      </c>
      <c r="I101" s="83" t="s">
        <v>598</v>
      </c>
      <c r="J101" s="83"/>
      <c r="K101" s="83"/>
      <c r="L101" s="82" t="s">
        <v>144</v>
      </c>
      <c r="M101" s="84" t="s">
        <v>599</v>
      </c>
      <c r="N101" s="84" t="s">
        <v>112</v>
      </c>
      <c r="O101" s="85" t="s">
        <v>122</v>
      </c>
      <c r="P101" s="83" t="s">
        <v>600</v>
      </c>
      <c r="Q101" s="34" t="s">
        <v>96</v>
      </c>
      <c r="R101" s="34">
        <v>1</v>
      </c>
      <c r="S101" s="34">
        <v>10000</v>
      </c>
      <c r="T101" s="34"/>
      <c r="U101" s="86" t="s">
        <v>601</v>
      </c>
      <c r="V101" s="83"/>
      <c r="W101" s="83"/>
      <c r="X101" s="83" t="s">
        <v>602</v>
      </c>
      <c r="Y101" s="85"/>
    </row>
    <row r="102" spans="1:25" s="82" customFormat="1" ht="80.400000000000006" customHeight="1" x14ac:dyDescent="0.3">
      <c r="A102" s="130">
        <f t="shared" ref="A102" si="107">A101</f>
        <v>5</v>
      </c>
      <c r="B102" s="130">
        <v>15</v>
      </c>
      <c r="C102" s="131" t="str">
        <f>CHAR(CODE(C101)+1)</f>
        <v>b</v>
      </c>
      <c r="D102" s="130" t="str">
        <f t="shared" ref="D102" si="108">A102&amp;"-"&amp;B102&amp;C102</f>
        <v>5-15b</v>
      </c>
      <c r="E102" s="83" t="s">
        <v>106</v>
      </c>
      <c r="F102" s="83" t="s">
        <v>15</v>
      </c>
      <c r="G102" s="34" t="s">
        <v>34</v>
      </c>
      <c r="H102" s="83" t="s">
        <v>597</v>
      </c>
      <c r="I102" s="83" t="s">
        <v>598</v>
      </c>
      <c r="J102" s="83"/>
      <c r="K102" s="83"/>
      <c r="L102" s="82" t="s">
        <v>144</v>
      </c>
      <c r="M102" s="84" t="s">
        <v>603</v>
      </c>
      <c r="N102" s="84" t="s">
        <v>112</v>
      </c>
      <c r="O102" s="85" t="s">
        <v>124</v>
      </c>
      <c r="P102" s="83" t="s">
        <v>604</v>
      </c>
      <c r="Q102" s="34" t="s">
        <v>96</v>
      </c>
      <c r="R102" s="34">
        <v>1</v>
      </c>
      <c r="S102" s="34">
        <v>10000</v>
      </c>
      <c r="T102" s="34"/>
      <c r="U102" s="86" t="s">
        <v>601</v>
      </c>
      <c r="V102" s="83"/>
      <c r="W102" s="83"/>
      <c r="X102" s="83" t="s">
        <v>605</v>
      </c>
      <c r="Y102" s="85"/>
    </row>
    <row r="103" spans="1:25" s="82" customFormat="1" ht="80.400000000000006" customHeight="1" x14ac:dyDescent="0.3">
      <c r="A103" s="130">
        <f t="shared" ref="A103:A105" si="109">A102</f>
        <v>5</v>
      </c>
      <c r="B103" s="130">
        <v>15</v>
      </c>
      <c r="C103" s="131" t="str">
        <f>CHAR(CODE(C102)+1)</f>
        <v>c</v>
      </c>
      <c r="D103" s="130" t="str">
        <f t="shared" ref="D103:D105" si="110">A103&amp;"-"&amp;B103&amp;C103</f>
        <v>5-15c</v>
      </c>
      <c r="E103" s="83" t="s">
        <v>106</v>
      </c>
      <c r="F103" s="83" t="s">
        <v>15</v>
      </c>
      <c r="G103" s="34" t="s">
        <v>34</v>
      </c>
      <c r="H103" s="83" t="s">
        <v>606</v>
      </c>
      <c r="I103" s="83" t="s">
        <v>607</v>
      </c>
      <c r="J103" s="83"/>
      <c r="K103" s="83"/>
      <c r="L103" s="82" t="s">
        <v>144</v>
      </c>
      <c r="M103" s="84" t="s">
        <v>608</v>
      </c>
      <c r="N103" s="84" t="s">
        <v>431</v>
      </c>
      <c r="O103" s="85" t="s">
        <v>122</v>
      </c>
      <c r="P103" s="83" t="s">
        <v>609</v>
      </c>
      <c r="Q103" s="34" t="s">
        <v>96</v>
      </c>
      <c r="R103" s="34">
        <v>1</v>
      </c>
      <c r="S103" s="34">
        <v>10000</v>
      </c>
      <c r="T103" s="34"/>
      <c r="U103" s="86" t="s">
        <v>601</v>
      </c>
      <c r="V103" s="83" t="s">
        <v>605</v>
      </c>
      <c r="W103" s="83" t="s">
        <v>605</v>
      </c>
      <c r="Y103" s="85"/>
    </row>
    <row r="104" spans="1:25" s="87" customFormat="1" ht="80.400000000000006" customHeight="1" x14ac:dyDescent="0.3">
      <c r="A104" s="127">
        <f t="shared" si="109"/>
        <v>5</v>
      </c>
      <c r="B104" s="127">
        <v>16</v>
      </c>
      <c r="C104" s="128" t="s">
        <v>110</v>
      </c>
      <c r="D104" s="127" t="str">
        <f t="shared" si="110"/>
        <v>5-16a</v>
      </c>
      <c r="E104" s="31" t="s">
        <v>106</v>
      </c>
      <c r="F104" s="31" t="s">
        <v>15</v>
      </c>
      <c r="G104" s="35" t="s">
        <v>34</v>
      </c>
      <c r="H104" s="31" t="s">
        <v>610</v>
      </c>
      <c r="I104" s="31" t="s">
        <v>612</v>
      </c>
      <c r="J104" s="31"/>
      <c r="K104" s="31"/>
      <c r="L104" s="87" t="s">
        <v>144</v>
      </c>
      <c r="M104" s="88" t="s">
        <v>614</v>
      </c>
      <c r="N104" s="88" t="s">
        <v>112</v>
      </c>
      <c r="O104" s="89" t="s">
        <v>122</v>
      </c>
      <c r="P104" s="31" t="s">
        <v>617</v>
      </c>
      <c r="Q104" s="35" t="s">
        <v>96</v>
      </c>
      <c r="R104" s="35">
        <v>1</v>
      </c>
      <c r="S104" s="35">
        <v>10000</v>
      </c>
      <c r="T104" s="35"/>
      <c r="U104" s="49" t="s">
        <v>620</v>
      </c>
      <c r="V104" s="31"/>
      <c r="W104" s="31"/>
      <c r="X104" s="31" t="s">
        <v>621</v>
      </c>
      <c r="Y104" s="89"/>
    </row>
    <row r="105" spans="1:25" s="87" customFormat="1" ht="80.400000000000006" customHeight="1" x14ac:dyDescent="0.3">
      <c r="A105" s="127">
        <f t="shared" si="109"/>
        <v>5</v>
      </c>
      <c r="B105" s="127">
        <f>B104</f>
        <v>16</v>
      </c>
      <c r="C105" s="128" t="str">
        <f>CHAR(CODE(C104)+1)</f>
        <v>b</v>
      </c>
      <c r="D105" s="127" t="str">
        <f t="shared" si="110"/>
        <v>5-16b</v>
      </c>
      <c r="E105" s="31" t="s">
        <v>106</v>
      </c>
      <c r="F105" s="31" t="s">
        <v>15</v>
      </c>
      <c r="G105" s="35" t="s">
        <v>34</v>
      </c>
      <c r="H105" s="31" t="s">
        <v>610</v>
      </c>
      <c r="I105" s="31" t="s">
        <v>612</v>
      </c>
      <c r="J105" s="31"/>
      <c r="K105" s="31"/>
      <c r="L105" s="87" t="s">
        <v>144</v>
      </c>
      <c r="M105" s="88" t="s">
        <v>615</v>
      </c>
      <c r="N105" s="88" t="s">
        <v>112</v>
      </c>
      <c r="O105" s="89" t="s">
        <v>124</v>
      </c>
      <c r="P105" s="31" t="s">
        <v>618</v>
      </c>
      <c r="Q105" s="35" t="s">
        <v>96</v>
      </c>
      <c r="R105" s="35">
        <v>1</v>
      </c>
      <c r="S105" s="35">
        <v>10000</v>
      </c>
      <c r="T105" s="35"/>
      <c r="U105" s="49" t="s">
        <v>620</v>
      </c>
      <c r="V105" s="31"/>
      <c r="W105" s="31"/>
      <c r="X105" s="31" t="s">
        <v>605</v>
      </c>
      <c r="Y105" s="89"/>
    </row>
    <row r="106" spans="1:25" s="87" customFormat="1" ht="80.400000000000006" customHeight="1" x14ac:dyDescent="0.3">
      <c r="A106" s="127">
        <f t="shared" ref="A106:A109" si="111">A105</f>
        <v>5</v>
      </c>
      <c r="B106" s="127">
        <f>B105</f>
        <v>16</v>
      </c>
      <c r="C106" s="128" t="str">
        <f>CHAR(CODE(C105)+1)</f>
        <v>c</v>
      </c>
      <c r="D106" s="127" t="str">
        <f t="shared" ref="D106:D109" si="112">A106&amp;"-"&amp;B106&amp;C106</f>
        <v>5-16c</v>
      </c>
      <c r="E106" s="31" t="s">
        <v>106</v>
      </c>
      <c r="F106" s="31" t="s">
        <v>15</v>
      </c>
      <c r="G106" s="35" t="s">
        <v>34</v>
      </c>
      <c r="H106" s="31" t="s">
        <v>611</v>
      </c>
      <c r="I106" s="31" t="s">
        <v>613</v>
      </c>
      <c r="J106" s="31"/>
      <c r="K106" s="31"/>
      <c r="L106" s="87" t="s">
        <v>144</v>
      </c>
      <c r="M106" s="88" t="s">
        <v>616</v>
      </c>
      <c r="N106" s="88" t="s">
        <v>431</v>
      </c>
      <c r="O106" s="89" t="s">
        <v>122</v>
      </c>
      <c r="P106" s="31" t="s">
        <v>619</v>
      </c>
      <c r="Q106" s="35" t="s">
        <v>96</v>
      </c>
      <c r="R106" s="35">
        <v>1</v>
      </c>
      <c r="S106" s="35">
        <v>10000</v>
      </c>
      <c r="T106" s="35"/>
      <c r="U106" s="49" t="s">
        <v>620</v>
      </c>
      <c r="V106" s="31" t="s">
        <v>605</v>
      </c>
      <c r="W106" s="31" t="s">
        <v>605</v>
      </c>
      <c r="Y106" s="89"/>
    </row>
    <row r="107" spans="1:25" s="82" customFormat="1" ht="80.400000000000006" customHeight="1" x14ac:dyDescent="0.3">
      <c r="A107" s="130">
        <f t="shared" si="111"/>
        <v>5</v>
      </c>
      <c r="B107" s="130">
        <v>17</v>
      </c>
      <c r="C107" s="131" t="s">
        <v>110</v>
      </c>
      <c r="D107" s="130" t="str">
        <f t="shared" si="112"/>
        <v>5-17a</v>
      </c>
      <c r="E107" s="83" t="s">
        <v>106</v>
      </c>
      <c r="F107" s="83" t="s">
        <v>15</v>
      </c>
      <c r="G107" s="34" t="s">
        <v>35</v>
      </c>
      <c r="H107" s="83" t="s">
        <v>630</v>
      </c>
      <c r="I107" s="83" t="s">
        <v>627</v>
      </c>
      <c r="J107" s="83"/>
      <c r="K107" s="83"/>
      <c r="L107" s="82" t="s">
        <v>144</v>
      </c>
      <c r="M107" s="84" t="s">
        <v>626</v>
      </c>
      <c r="N107" s="84" t="s">
        <v>112</v>
      </c>
      <c r="O107" s="85" t="s">
        <v>122</v>
      </c>
      <c r="P107" s="83" t="s">
        <v>641</v>
      </c>
      <c r="Q107" s="34" t="s">
        <v>96</v>
      </c>
      <c r="R107" s="34">
        <v>1</v>
      </c>
      <c r="S107" s="34">
        <v>10000</v>
      </c>
      <c r="T107" s="34"/>
      <c r="U107" s="86" t="s">
        <v>622</v>
      </c>
      <c r="V107" s="83"/>
      <c r="W107" s="83"/>
      <c r="X107" s="83" t="s">
        <v>602</v>
      </c>
      <c r="Y107" s="85"/>
    </row>
    <row r="108" spans="1:25" s="82" customFormat="1" ht="80.400000000000006" customHeight="1" x14ac:dyDescent="0.3">
      <c r="A108" s="130">
        <f t="shared" si="111"/>
        <v>5</v>
      </c>
      <c r="B108" s="130">
        <f>B107</f>
        <v>17</v>
      </c>
      <c r="C108" s="131" t="str">
        <f>CHAR(CODE(C107)+1)</f>
        <v>b</v>
      </c>
      <c r="D108" s="130" t="str">
        <f t="shared" si="112"/>
        <v>5-17b</v>
      </c>
      <c r="E108" s="83" t="s">
        <v>106</v>
      </c>
      <c r="F108" s="83" t="s">
        <v>15</v>
      </c>
      <c r="G108" s="34" t="s">
        <v>35</v>
      </c>
      <c r="H108" s="83" t="s">
        <v>630</v>
      </c>
      <c r="I108" s="83" t="s">
        <v>627</v>
      </c>
      <c r="J108" s="83"/>
      <c r="K108" s="83"/>
      <c r="L108" s="82" t="s">
        <v>144</v>
      </c>
      <c r="M108" s="84" t="s">
        <v>625</v>
      </c>
      <c r="N108" s="84" t="s">
        <v>112</v>
      </c>
      <c r="O108" s="85" t="s">
        <v>124</v>
      </c>
      <c r="P108" s="83" t="s">
        <v>642</v>
      </c>
      <c r="Q108" s="34" t="s">
        <v>96</v>
      </c>
      <c r="R108" s="34">
        <v>1</v>
      </c>
      <c r="S108" s="34">
        <v>10000</v>
      </c>
      <c r="T108" s="34"/>
      <c r="U108" s="86" t="s">
        <v>622</v>
      </c>
      <c r="V108" s="83"/>
      <c r="W108" s="83"/>
      <c r="X108" s="83" t="s">
        <v>605</v>
      </c>
      <c r="Y108" s="85"/>
    </row>
    <row r="109" spans="1:25" s="82" customFormat="1" ht="80.400000000000006" customHeight="1" x14ac:dyDescent="0.3">
      <c r="A109" s="130">
        <f t="shared" si="111"/>
        <v>5</v>
      </c>
      <c r="B109" s="130">
        <f>B108</f>
        <v>17</v>
      </c>
      <c r="C109" s="131" t="str">
        <f>CHAR(CODE(C108)+1)</f>
        <v>c</v>
      </c>
      <c r="D109" s="130" t="str">
        <f t="shared" si="112"/>
        <v>5-17c</v>
      </c>
      <c r="E109" s="83" t="s">
        <v>106</v>
      </c>
      <c r="F109" s="83" t="s">
        <v>15</v>
      </c>
      <c r="G109" s="34" t="s">
        <v>35</v>
      </c>
      <c r="H109" s="83" t="s">
        <v>629</v>
      </c>
      <c r="I109" s="83" t="s">
        <v>628</v>
      </c>
      <c r="J109" s="83"/>
      <c r="K109" s="83"/>
      <c r="L109" s="82" t="s">
        <v>144</v>
      </c>
      <c r="M109" s="84" t="s">
        <v>624</v>
      </c>
      <c r="N109" s="84" t="s">
        <v>431</v>
      </c>
      <c r="O109" s="85" t="s">
        <v>122</v>
      </c>
      <c r="P109" s="83" t="s">
        <v>623</v>
      </c>
      <c r="Q109" s="34" t="s">
        <v>96</v>
      </c>
      <c r="R109" s="34">
        <v>1</v>
      </c>
      <c r="S109" s="34">
        <v>10000</v>
      </c>
      <c r="T109" s="34"/>
      <c r="U109" s="86" t="s">
        <v>622</v>
      </c>
      <c r="V109" s="83" t="s">
        <v>605</v>
      </c>
      <c r="W109" s="83" t="s">
        <v>605</v>
      </c>
      <c r="Y109" s="85"/>
    </row>
    <row r="110" spans="1:25" s="87" customFormat="1" ht="52.8" x14ac:dyDescent="0.3">
      <c r="A110" s="127">
        <f t="shared" ref="A110" si="113">A109</f>
        <v>5</v>
      </c>
      <c r="B110" s="127">
        <v>18</v>
      </c>
      <c r="C110" s="128" t="s">
        <v>110</v>
      </c>
      <c r="D110" s="127" t="str">
        <f t="shared" ref="D110:D115" si="114">A110&amp;"-"&amp;B110&amp;C110</f>
        <v>5-18a</v>
      </c>
      <c r="E110" s="31" t="s">
        <v>106</v>
      </c>
      <c r="F110" s="31" t="s">
        <v>15</v>
      </c>
      <c r="G110" s="35" t="s">
        <v>36</v>
      </c>
      <c r="H110" s="31" t="s">
        <v>639</v>
      </c>
      <c r="I110" s="31" t="s">
        <v>640</v>
      </c>
      <c r="J110" s="31"/>
      <c r="K110" s="31"/>
      <c r="L110" s="87" t="s">
        <v>177</v>
      </c>
      <c r="M110" s="88" t="s">
        <v>648</v>
      </c>
      <c r="N110" s="88" t="s">
        <v>112</v>
      </c>
      <c r="O110" s="89" t="s">
        <v>122</v>
      </c>
      <c r="P110" s="31" t="s">
        <v>643</v>
      </c>
      <c r="Q110" s="35" t="s">
        <v>96</v>
      </c>
      <c r="R110" s="35">
        <v>1</v>
      </c>
      <c r="S110" s="35">
        <v>10000</v>
      </c>
      <c r="T110" s="35"/>
      <c r="U110" s="49" t="s">
        <v>644</v>
      </c>
      <c r="V110" s="31"/>
      <c r="W110" s="31"/>
      <c r="X110" s="31" t="s">
        <v>645</v>
      </c>
      <c r="Y110" s="89"/>
    </row>
    <row r="111" spans="1:25" s="87" customFormat="1" ht="66" x14ac:dyDescent="0.3">
      <c r="A111" s="127">
        <f>A109</f>
        <v>5</v>
      </c>
      <c r="B111" s="127">
        <f>B110</f>
        <v>18</v>
      </c>
      <c r="C111" s="128" t="str">
        <f>CHAR(CODE(C110)+1)</f>
        <v>b</v>
      </c>
      <c r="D111" s="127" t="str">
        <f t="shared" ref="D111" si="115">A111&amp;"-"&amp;B111&amp;C111</f>
        <v>5-18b</v>
      </c>
      <c r="E111" s="31" t="s">
        <v>106</v>
      </c>
      <c r="F111" s="31" t="s">
        <v>15</v>
      </c>
      <c r="G111" s="35" t="str">
        <f>G110</f>
        <v>Table G3.1 
Section 5b &amp; G3.1.1.4</v>
      </c>
      <c r="H111" s="31" t="s">
        <v>651</v>
      </c>
      <c r="I111" s="31" t="s">
        <v>652</v>
      </c>
      <c r="J111" s="31"/>
      <c r="K111" s="31"/>
      <c r="L111" s="87" t="s">
        <v>177</v>
      </c>
      <c r="M111" s="88" t="s">
        <v>653</v>
      </c>
      <c r="N111" s="88" t="s">
        <v>431</v>
      </c>
      <c r="O111" s="89" t="s">
        <v>122</v>
      </c>
      <c r="P111" s="31" t="s">
        <v>654</v>
      </c>
      <c r="Q111" s="35" t="s">
        <v>96</v>
      </c>
      <c r="R111" s="35">
        <v>1</v>
      </c>
      <c r="S111" s="35">
        <v>10000</v>
      </c>
      <c r="T111" s="35"/>
      <c r="U111" s="49" t="s">
        <v>655</v>
      </c>
      <c r="V111" s="31"/>
      <c r="W111" s="31" t="s">
        <v>656</v>
      </c>
      <c r="X111" s="31" t="s">
        <v>656</v>
      </c>
      <c r="Y111" s="89"/>
    </row>
    <row r="112" spans="1:25" s="87" customFormat="1" ht="66" x14ac:dyDescent="0.3">
      <c r="A112" s="127">
        <f>A110</f>
        <v>5</v>
      </c>
      <c r="B112" s="127">
        <f>B110</f>
        <v>18</v>
      </c>
      <c r="C112" s="128" t="str">
        <f>CHAR(CODE(C111)+1)</f>
        <v>c</v>
      </c>
      <c r="D112" s="127" t="str">
        <f t="shared" si="114"/>
        <v>5-18c</v>
      </c>
      <c r="E112" s="31" t="s">
        <v>106</v>
      </c>
      <c r="F112" s="31" t="s">
        <v>15</v>
      </c>
      <c r="G112" s="35" t="str">
        <f>G111</f>
        <v>Table G3.1 
Section 5b &amp; G3.1.1.4</v>
      </c>
      <c r="H112" s="31" t="s">
        <v>646</v>
      </c>
      <c r="I112" s="31" t="s">
        <v>647</v>
      </c>
      <c r="J112" s="31"/>
      <c r="K112" s="31"/>
      <c r="L112" s="87" t="s">
        <v>4</v>
      </c>
      <c r="M112" s="88" t="s">
        <v>649</v>
      </c>
      <c r="N112" s="88" t="s">
        <v>431</v>
      </c>
      <c r="O112" s="89" t="s">
        <v>122</v>
      </c>
      <c r="P112" s="31" t="s">
        <v>650</v>
      </c>
      <c r="Q112" s="35" t="s">
        <v>96</v>
      </c>
      <c r="R112" s="35">
        <v>1</v>
      </c>
      <c r="S112" s="35">
        <v>10000</v>
      </c>
      <c r="T112" s="35"/>
      <c r="U112" s="49" t="s">
        <v>644</v>
      </c>
      <c r="V112" s="31"/>
      <c r="W112" s="31" t="s">
        <v>645</v>
      </c>
      <c r="X112" s="31" t="s">
        <v>645</v>
      </c>
      <c r="Y112" s="89"/>
    </row>
    <row r="113" spans="1:25" s="57" customFormat="1" ht="200.4" customHeight="1" x14ac:dyDescent="0.25">
      <c r="A113" s="126">
        <f>A112</f>
        <v>5</v>
      </c>
      <c r="B113" s="126">
        <v>19</v>
      </c>
      <c r="C113" s="129" t="s">
        <v>110</v>
      </c>
      <c r="D113" s="126" t="str">
        <f t="shared" si="114"/>
        <v>5-19a</v>
      </c>
      <c r="E113" s="59" t="s">
        <v>106</v>
      </c>
      <c r="F113" s="59" t="s">
        <v>15</v>
      </c>
      <c r="G113" s="59" t="s">
        <v>36</v>
      </c>
      <c r="H113" s="59" t="s">
        <v>980</v>
      </c>
      <c r="I113" s="59" t="s">
        <v>664</v>
      </c>
      <c r="J113" s="59"/>
      <c r="K113" s="59"/>
      <c r="L113" s="57" t="s">
        <v>4</v>
      </c>
      <c r="M113" s="61" t="s">
        <v>666</v>
      </c>
      <c r="N113" s="61" t="s">
        <v>112</v>
      </c>
      <c r="O113" s="62" t="s">
        <v>122</v>
      </c>
      <c r="P113" s="59" t="s">
        <v>665</v>
      </c>
      <c r="Q113" s="60" t="s">
        <v>96</v>
      </c>
      <c r="R113" s="60">
        <v>1</v>
      </c>
      <c r="S113" s="60">
        <v>10000</v>
      </c>
      <c r="T113" s="60"/>
      <c r="U113" s="78" t="s">
        <v>660</v>
      </c>
      <c r="V113" s="59"/>
      <c r="W113" s="59"/>
      <c r="X113" s="59" t="s">
        <v>981</v>
      </c>
      <c r="Y113" s="62"/>
    </row>
    <row r="114" spans="1:25" s="57" customFormat="1" ht="112.2" customHeight="1" x14ac:dyDescent="0.25">
      <c r="A114" s="126">
        <f t="shared" ref="A114:A115" si="116">A113</f>
        <v>5</v>
      </c>
      <c r="B114" s="126">
        <f>B113</f>
        <v>19</v>
      </c>
      <c r="C114" s="129" t="str">
        <f>CHAR(CODE(C113)+1)</f>
        <v>b</v>
      </c>
      <c r="D114" s="126" t="str">
        <f t="shared" si="114"/>
        <v>5-19b</v>
      </c>
      <c r="E114" s="59" t="s">
        <v>106</v>
      </c>
      <c r="F114" s="59" t="s">
        <v>15</v>
      </c>
      <c r="G114" s="60" t="str">
        <f>G113</f>
        <v>Table G3.1 
Section 5b &amp; G3.1.1.4</v>
      </c>
      <c r="H114" s="59" t="s">
        <v>980</v>
      </c>
      <c r="I114" s="59" t="s">
        <v>663</v>
      </c>
      <c r="J114" s="59"/>
      <c r="K114" s="59"/>
      <c r="L114" s="57" t="s">
        <v>662</v>
      </c>
      <c r="M114" s="61" t="s">
        <v>667</v>
      </c>
      <c r="N114" s="61" t="s">
        <v>112</v>
      </c>
      <c r="O114" s="62" t="s">
        <v>122</v>
      </c>
      <c r="P114" s="59" t="s">
        <v>665</v>
      </c>
      <c r="Q114" s="60" t="s">
        <v>96</v>
      </c>
      <c r="R114" s="60">
        <v>1</v>
      </c>
      <c r="S114" s="60">
        <v>10000</v>
      </c>
      <c r="T114" s="60"/>
      <c r="U114" s="78" t="s">
        <v>660</v>
      </c>
      <c r="V114" s="59"/>
      <c r="W114" s="59"/>
      <c r="X114" s="59" t="s">
        <v>982</v>
      </c>
      <c r="Y114" s="62"/>
    </row>
    <row r="115" spans="1:25" s="57" customFormat="1" ht="112.2" customHeight="1" x14ac:dyDescent="0.25">
      <c r="A115" s="63">
        <f t="shared" si="116"/>
        <v>5</v>
      </c>
      <c r="B115" s="63">
        <f t="shared" ref="B115" si="117">B114</f>
        <v>19</v>
      </c>
      <c r="C115" s="129" t="str">
        <f>CHAR(CODE(C114)+1)</f>
        <v>c</v>
      </c>
      <c r="D115" s="126" t="str">
        <f t="shared" si="114"/>
        <v>5-19c</v>
      </c>
      <c r="E115" s="59" t="s">
        <v>106</v>
      </c>
      <c r="F115" s="59" t="s">
        <v>15</v>
      </c>
      <c r="G115" s="60" t="str">
        <f>G114</f>
        <v>Table G3.1 
Section 5b &amp; G3.1.1.4</v>
      </c>
      <c r="H115" s="59" t="s">
        <v>980</v>
      </c>
      <c r="I115" s="59" t="s">
        <v>663</v>
      </c>
      <c r="J115" s="59"/>
      <c r="K115" s="59"/>
      <c r="L115" s="57" t="s">
        <v>662</v>
      </c>
      <c r="M115" s="61" t="s">
        <v>668</v>
      </c>
      <c r="N115" s="61" t="s">
        <v>112</v>
      </c>
      <c r="O115" s="62" t="s">
        <v>122</v>
      </c>
      <c r="P115" s="59" t="s">
        <v>665</v>
      </c>
      <c r="Q115" s="60" t="s">
        <v>96</v>
      </c>
      <c r="R115" s="60">
        <v>1</v>
      </c>
      <c r="S115" s="60">
        <v>10000</v>
      </c>
      <c r="T115" s="60"/>
      <c r="U115" s="78" t="s">
        <v>660</v>
      </c>
      <c r="V115" s="59"/>
      <c r="W115" s="59"/>
      <c r="X115" s="59" t="s">
        <v>670</v>
      </c>
      <c r="Y115" s="62"/>
    </row>
    <row r="116" spans="1:25" s="57" customFormat="1" ht="112.2" customHeight="1" x14ac:dyDescent="0.25">
      <c r="A116" s="126">
        <f t="shared" ref="A116:A119" si="118">A115</f>
        <v>5</v>
      </c>
      <c r="B116" s="126">
        <f t="shared" ref="B116:B119" si="119">B115</f>
        <v>19</v>
      </c>
      <c r="C116" s="129" t="str">
        <f t="shared" ref="C116:C119" si="120">CHAR(CODE(C115)+1)</f>
        <v>d</v>
      </c>
      <c r="D116" s="126" t="str">
        <f t="shared" ref="D116:D119" si="121">A116&amp;"-"&amp;B116&amp;C116</f>
        <v>5-19d</v>
      </c>
      <c r="E116" s="59" t="s">
        <v>106</v>
      </c>
      <c r="F116" s="59" t="s">
        <v>15</v>
      </c>
      <c r="G116" s="60" t="str">
        <f t="shared" ref="G116:G119" si="122">G115</f>
        <v>Table G3.1 
Section 5b &amp; G3.1.1.4</v>
      </c>
      <c r="H116" s="59" t="s">
        <v>980</v>
      </c>
      <c r="I116" s="59" t="s">
        <v>663</v>
      </c>
      <c r="J116" s="59"/>
      <c r="K116" s="59"/>
      <c r="L116" s="57" t="s">
        <v>662</v>
      </c>
      <c r="M116" s="61" t="s">
        <v>669</v>
      </c>
      <c r="N116" s="61" t="s">
        <v>112</v>
      </c>
      <c r="O116" s="62" t="s">
        <v>122</v>
      </c>
      <c r="P116" s="59" t="s">
        <v>665</v>
      </c>
      <c r="Q116" s="60" t="s">
        <v>96</v>
      </c>
      <c r="R116" s="60">
        <v>1</v>
      </c>
      <c r="S116" s="60">
        <v>10000</v>
      </c>
      <c r="T116" s="60"/>
      <c r="U116" s="78" t="s">
        <v>660</v>
      </c>
      <c r="V116" s="59"/>
      <c r="W116" s="59"/>
      <c r="X116" s="59" t="s">
        <v>983</v>
      </c>
      <c r="Y116" s="62"/>
    </row>
    <row r="117" spans="1:25" s="57" customFormat="1" ht="129.6" customHeight="1" x14ac:dyDescent="0.25">
      <c r="A117" s="126">
        <f t="shared" si="118"/>
        <v>5</v>
      </c>
      <c r="B117" s="126">
        <f t="shared" si="119"/>
        <v>19</v>
      </c>
      <c r="C117" s="129" t="str">
        <f t="shared" si="120"/>
        <v>e</v>
      </c>
      <c r="D117" s="126" t="str">
        <f t="shared" si="121"/>
        <v>5-19e</v>
      </c>
      <c r="E117" s="59" t="s">
        <v>106</v>
      </c>
      <c r="F117" s="59" t="s">
        <v>15</v>
      </c>
      <c r="G117" s="60" t="str">
        <f t="shared" si="122"/>
        <v>Table G3.1 
Section 5b &amp; G3.1.1.4</v>
      </c>
      <c r="H117" s="59" t="s">
        <v>980</v>
      </c>
      <c r="I117" s="59" t="s">
        <v>663</v>
      </c>
      <c r="J117" s="59"/>
      <c r="K117" s="59"/>
      <c r="L117" s="57" t="s">
        <v>662</v>
      </c>
      <c r="M117" s="61" t="s">
        <v>671</v>
      </c>
      <c r="N117" s="61" t="s">
        <v>112</v>
      </c>
      <c r="O117" s="62" t="s">
        <v>122</v>
      </c>
      <c r="P117" s="59" t="s">
        <v>665</v>
      </c>
      <c r="Q117" s="60" t="s">
        <v>96</v>
      </c>
      <c r="R117" s="60">
        <v>1</v>
      </c>
      <c r="S117" s="60">
        <v>10000</v>
      </c>
      <c r="T117" s="60"/>
      <c r="U117" s="78" t="s">
        <v>674</v>
      </c>
      <c r="V117" s="59"/>
      <c r="W117" s="59"/>
      <c r="X117" s="59" t="s">
        <v>984</v>
      </c>
      <c r="Y117" s="62"/>
    </row>
    <row r="118" spans="1:25" s="57" customFormat="1" ht="302.39999999999998" customHeight="1" x14ac:dyDescent="0.25">
      <c r="A118" s="126">
        <f t="shared" ref="A118" si="123">A117</f>
        <v>5</v>
      </c>
      <c r="B118" s="126">
        <f t="shared" ref="B118" si="124">B117</f>
        <v>19</v>
      </c>
      <c r="C118" s="129" t="str">
        <f t="shared" ref="C118" si="125">CHAR(CODE(C117)+1)</f>
        <v>f</v>
      </c>
      <c r="D118" s="126" t="str">
        <f t="shared" ref="D118" si="126">A118&amp;"-"&amp;B118&amp;C118</f>
        <v>5-19f</v>
      </c>
      <c r="E118" s="59" t="s">
        <v>106</v>
      </c>
      <c r="F118" s="59" t="s">
        <v>15</v>
      </c>
      <c r="G118" s="60" t="str">
        <f t="shared" ref="G118" si="127">G117</f>
        <v>Table G3.1 
Section 5b &amp; G3.1.1.4</v>
      </c>
      <c r="H118" s="59" t="s">
        <v>980</v>
      </c>
      <c r="I118" s="59" t="s">
        <v>663</v>
      </c>
      <c r="J118" s="59"/>
      <c r="K118" s="59"/>
      <c r="L118" s="57" t="s">
        <v>662</v>
      </c>
      <c r="M118" s="61" t="s">
        <v>676</v>
      </c>
      <c r="N118" s="61" t="s">
        <v>112</v>
      </c>
      <c r="O118" s="62" t="s">
        <v>122</v>
      </c>
      <c r="P118" s="59" t="s">
        <v>665</v>
      </c>
      <c r="Q118" s="60" t="s">
        <v>96</v>
      </c>
      <c r="R118" s="60">
        <v>1</v>
      </c>
      <c r="S118" s="60">
        <v>10000</v>
      </c>
      <c r="T118" s="60"/>
      <c r="U118" s="78" t="s">
        <v>674</v>
      </c>
      <c r="V118" s="59"/>
      <c r="W118" s="59"/>
      <c r="X118" s="59" t="s">
        <v>675</v>
      </c>
      <c r="Y118" s="62"/>
    </row>
    <row r="119" spans="1:25" s="57" customFormat="1" ht="224.4" x14ac:dyDescent="0.25">
      <c r="A119" s="126">
        <f t="shared" si="118"/>
        <v>5</v>
      </c>
      <c r="B119" s="126">
        <f t="shared" si="119"/>
        <v>19</v>
      </c>
      <c r="C119" s="129" t="str">
        <f t="shared" si="120"/>
        <v>g</v>
      </c>
      <c r="D119" s="126" t="str">
        <f t="shared" si="121"/>
        <v>5-19g</v>
      </c>
      <c r="E119" s="59" t="s">
        <v>106</v>
      </c>
      <c r="F119" s="59" t="s">
        <v>15</v>
      </c>
      <c r="G119" s="60" t="str">
        <f t="shared" si="122"/>
        <v>Table G3.1 
Section 5b &amp; G3.1.1.4</v>
      </c>
      <c r="H119" s="78" t="s">
        <v>987</v>
      </c>
      <c r="I119" s="59" t="s">
        <v>988</v>
      </c>
      <c r="J119" s="59"/>
      <c r="K119" s="59"/>
      <c r="L119" s="57" t="s">
        <v>177</v>
      </c>
      <c r="M119" s="61" t="s">
        <v>989</v>
      </c>
      <c r="N119" s="61" t="s">
        <v>431</v>
      </c>
      <c r="O119" s="62" t="s">
        <v>122</v>
      </c>
      <c r="P119" s="59" t="s">
        <v>989</v>
      </c>
      <c r="Q119" s="60" t="s">
        <v>96</v>
      </c>
      <c r="R119" s="60">
        <v>1</v>
      </c>
      <c r="S119" s="60">
        <v>10000</v>
      </c>
      <c r="T119" s="60"/>
      <c r="U119" s="78" t="s">
        <v>660</v>
      </c>
      <c r="V119" s="59"/>
      <c r="W119" s="59" t="s">
        <v>992</v>
      </c>
      <c r="Y119" s="62"/>
    </row>
    <row r="120" spans="1:25" s="57" customFormat="1" ht="198" x14ac:dyDescent="0.25">
      <c r="A120" s="126">
        <f t="shared" ref="A120:A121" si="128">A119</f>
        <v>5</v>
      </c>
      <c r="B120" s="126">
        <f t="shared" ref="B120" si="129">B119</f>
        <v>19</v>
      </c>
      <c r="C120" s="129" t="str">
        <f t="shared" ref="C120" si="130">CHAR(CODE(C119)+1)</f>
        <v>h</v>
      </c>
      <c r="D120" s="126" t="str">
        <f t="shared" ref="D120:D122" si="131">A120&amp;"-"&amp;B120&amp;C120</f>
        <v>5-19h</v>
      </c>
      <c r="E120" s="59" t="s">
        <v>106</v>
      </c>
      <c r="F120" s="59" t="s">
        <v>15</v>
      </c>
      <c r="G120" s="60" t="str">
        <f t="shared" ref="G120" si="132">G119</f>
        <v>Table G3.1 
Section 5b &amp; G3.1.1.4</v>
      </c>
      <c r="H120" s="59" t="s">
        <v>677</v>
      </c>
      <c r="I120" s="59" t="s">
        <v>988</v>
      </c>
      <c r="J120" s="59"/>
      <c r="K120" s="59"/>
      <c r="L120" s="57" t="s">
        <v>177</v>
      </c>
      <c r="M120" s="61" t="s">
        <v>990</v>
      </c>
      <c r="N120" s="61" t="s">
        <v>431</v>
      </c>
      <c r="O120" s="62" t="s">
        <v>171</v>
      </c>
      <c r="P120" s="59" t="s">
        <v>991</v>
      </c>
      <c r="Q120" s="60" t="s">
        <v>96</v>
      </c>
      <c r="R120" s="60">
        <v>1</v>
      </c>
      <c r="S120" s="60">
        <v>10000</v>
      </c>
      <c r="T120" s="60"/>
      <c r="U120" s="78" t="s">
        <v>660</v>
      </c>
      <c r="V120" s="59"/>
      <c r="W120" s="59" t="s">
        <v>993</v>
      </c>
      <c r="X120" s="59"/>
      <c r="Y120" s="62"/>
    </row>
    <row r="121" spans="1:25" s="87" customFormat="1" ht="52.8" x14ac:dyDescent="0.3">
      <c r="A121" s="127">
        <f t="shared" si="128"/>
        <v>5</v>
      </c>
      <c r="B121" s="127">
        <v>20</v>
      </c>
      <c r="C121" s="128" t="s">
        <v>110</v>
      </c>
      <c r="D121" s="127" t="str">
        <f t="shared" si="131"/>
        <v>5-20a</v>
      </c>
      <c r="E121" s="31" t="s">
        <v>106</v>
      </c>
      <c r="F121" s="31" t="s">
        <v>15</v>
      </c>
      <c r="G121" s="35" t="s">
        <v>40</v>
      </c>
      <c r="H121" s="31" t="s">
        <v>678</v>
      </c>
      <c r="I121" s="31" t="s">
        <v>679</v>
      </c>
      <c r="J121" s="31"/>
      <c r="K121" s="31"/>
      <c r="L121" s="87" t="s">
        <v>680</v>
      </c>
      <c r="M121" s="88" t="s">
        <v>688</v>
      </c>
      <c r="N121" s="88" t="s">
        <v>112</v>
      </c>
      <c r="O121" s="89" t="s">
        <v>122</v>
      </c>
      <c r="P121" s="31" t="s">
        <v>683</v>
      </c>
      <c r="Q121" s="35" t="s">
        <v>96</v>
      </c>
      <c r="R121" s="35">
        <v>1</v>
      </c>
      <c r="S121" s="35">
        <v>10000</v>
      </c>
      <c r="T121" s="35"/>
      <c r="U121" s="49" t="s">
        <v>681</v>
      </c>
      <c r="V121" s="31"/>
      <c r="W121" s="31" t="s">
        <v>682</v>
      </c>
      <c r="X121" s="31" t="s">
        <v>682</v>
      </c>
      <c r="Y121" s="89"/>
    </row>
    <row r="122" spans="1:25" s="87" customFormat="1" ht="52.8" x14ac:dyDescent="0.3">
      <c r="A122" s="127">
        <f>A120</f>
        <v>5</v>
      </c>
      <c r="B122" s="127">
        <f>B121</f>
        <v>20</v>
      </c>
      <c r="C122" s="128" t="str">
        <f>CHAR(CODE(C121)+1)</f>
        <v>b</v>
      </c>
      <c r="D122" s="127" t="str">
        <f t="shared" si="131"/>
        <v>5-20b</v>
      </c>
      <c r="E122" s="31" t="s">
        <v>106</v>
      </c>
      <c r="F122" s="31" t="s">
        <v>15</v>
      </c>
      <c r="G122" s="35" t="str">
        <f>G121</f>
        <v>Table G3.1 Section 14</v>
      </c>
      <c r="H122" s="31" t="s">
        <v>678</v>
      </c>
      <c r="I122" s="31" t="s">
        <v>679</v>
      </c>
      <c r="J122" s="31"/>
      <c r="K122" s="31"/>
      <c r="L122" s="87" t="s">
        <v>680</v>
      </c>
      <c r="M122" s="88" t="s">
        <v>689</v>
      </c>
      <c r="N122" s="88" t="s">
        <v>112</v>
      </c>
      <c r="O122" s="89" t="s">
        <v>171</v>
      </c>
      <c r="P122" s="31" t="s">
        <v>684</v>
      </c>
      <c r="Q122" s="35" t="s">
        <v>96</v>
      </c>
      <c r="R122" s="35">
        <v>1</v>
      </c>
      <c r="S122" s="35">
        <v>10000</v>
      </c>
      <c r="T122" s="35"/>
      <c r="U122" s="49" t="s">
        <v>681</v>
      </c>
      <c r="V122" s="31"/>
      <c r="W122" s="31" t="s">
        <v>685</v>
      </c>
      <c r="X122" s="31" t="s">
        <v>685</v>
      </c>
      <c r="Y122" s="89"/>
    </row>
    <row r="123" spans="1:25" s="87" customFormat="1" ht="39.6" x14ac:dyDescent="0.3">
      <c r="A123" s="127">
        <f>A121</f>
        <v>5</v>
      </c>
      <c r="B123" s="127">
        <f>B122</f>
        <v>20</v>
      </c>
      <c r="C123" s="128" t="str">
        <f>CHAR(CODE(C122)+1)</f>
        <v>c</v>
      </c>
      <c r="D123" s="127" t="str">
        <f t="shared" ref="D123" si="133">A123&amp;"-"&amp;B123&amp;C123</f>
        <v>5-20c</v>
      </c>
      <c r="E123" s="31" t="s">
        <v>106</v>
      </c>
      <c r="F123" s="31" t="s">
        <v>15</v>
      </c>
      <c r="G123" s="35" t="str">
        <f>G122</f>
        <v>Table G3.1 Section 14</v>
      </c>
      <c r="H123" s="31" t="s">
        <v>678</v>
      </c>
      <c r="I123" s="31" t="s">
        <v>679</v>
      </c>
      <c r="J123" s="31"/>
      <c r="K123" s="31"/>
      <c r="L123" s="87" t="s">
        <v>680</v>
      </c>
      <c r="M123" s="88" t="s">
        <v>690</v>
      </c>
      <c r="N123" s="88" t="s">
        <v>112</v>
      </c>
      <c r="O123" s="89" t="s">
        <v>124</v>
      </c>
      <c r="P123" s="31" t="s">
        <v>691</v>
      </c>
      <c r="Q123" s="35" t="s">
        <v>96</v>
      </c>
      <c r="R123" s="35">
        <v>1</v>
      </c>
      <c r="S123" s="35">
        <v>10000</v>
      </c>
      <c r="T123" s="35"/>
      <c r="U123" s="49" t="s">
        <v>681</v>
      </c>
      <c r="V123" s="31"/>
      <c r="W123" s="31" t="s">
        <v>682</v>
      </c>
      <c r="X123" s="31" t="s">
        <v>685</v>
      </c>
      <c r="Y123" s="89"/>
    </row>
    <row r="124" spans="1:25" s="87" customFormat="1" ht="39.6" x14ac:dyDescent="0.3">
      <c r="A124" s="127">
        <f>A121</f>
        <v>5</v>
      </c>
      <c r="B124" s="127">
        <f>B122</f>
        <v>20</v>
      </c>
      <c r="C124" s="128" t="str">
        <f>CHAR(CODE(C122)+1)</f>
        <v>c</v>
      </c>
      <c r="D124" s="127" t="str">
        <f t="shared" ref="D124:D125" si="134">A124&amp;"-"&amp;B124&amp;C124</f>
        <v>5-20c</v>
      </c>
      <c r="E124" s="31" t="s">
        <v>106</v>
      </c>
      <c r="F124" s="31" t="s">
        <v>15</v>
      </c>
      <c r="G124" s="35" t="str">
        <f>G122</f>
        <v>Table G3.1 Section 14</v>
      </c>
      <c r="H124" s="31" t="s">
        <v>686</v>
      </c>
      <c r="I124" s="31" t="s">
        <v>687</v>
      </c>
      <c r="J124" s="31"/>
      <c r="K124" s="31"/>
      <c r="L124" s="87" t="s">
        <v>680</v>
      </c>
      <c r="M124" s="88" t="s">
        <v>693</v>
      </c>
      <c r="N124" s="88" t="s">
        <v>431</v>
      </c>
      <c r="O124" s="89" t="s">
        <v>122</v>
      </c>
      <c r="P124" s="31" t="s">
        <v>692</v>
      </c>
      <c r="Q124" s="35" t="s">
        <v>96</v>
      </c>
      <c r="R124" s="35">
        <v>1</v>
      </c>
      <c r="S124" s="35">
        <v>10000</v>
      </c>
      <c r="T124" s="35"/>
      <c r="U124" s="49" t="s">
        <v>681</v>
      </c>
      <c r="V124" s="31" t="s">
        <v>682</v>
      </c>
      <c r="W124" s="31" t="s">
        <v>682</v>
      </c>
      <c r="Y124" s="89"/>
    </row>
    <row r="125" spans="1:25" s="87" customFormat="1" ht="52.8" x14ac:dyDescent="0.3">
      <c r="A125" s="127">
        <f>A121</f>
        <v>5</v>
      </c>
      <c r="B125" s="127">
        <f>B122</f>
        <v>20</v>
      </c>
      <c r="C125" s="128" t="str">
        <f>CHAR(CODE(C122)+1)</f>
        <v>c</v>
      </c>
      <c r="D125" s="127" t="str">
        <f t="shared" si="134"/>
        <v>5-20c</v>
      </c>
      <c r="E125" s="31" t="s">
        <v>106</v>
      </c>
      <c r="F125" s="31" t="s">
        <v>15</v>
      </c>
      <c r="G125" s="35" t="str">
        <f>G122</f>
        <v>Table G3.1 Section 14</v>
      </c>
      <c r="H125" s="31" t="s">
        <v>686</v>
      </c>
      <c r="I125" s="31" t="s">
        <v>687</v>
      </c>
      <c r="J125" s="31"/>
      <c r="K125" s="31"/>
      <c r="L125" s="87" t="s">
        <v>680</v>
      </c>
      <c r="M125" s="88" t="s">
        <v>694</v>
      </c>
      <c r="N125" s="88" t="s">
        <v>431</v>
      </c>
      <c r="O125" s="89" t="s">
        <v>171</v>
      </c>
      <c r="P125" s="31" t="s">
        <v>695</v>
      </c>
      <c r="Q125" s="35" t="s">
        <v>96</v>
      </c>
      <c r="R125" s="35">
        <v>1</v>
      </c>
      <c r="S125" s="35">
        <v>10000</v>
      </c>
      <c r="T125" s="35"/>
      <c r="U125" s="49" t="s">
        <v>681</v>
      </c>
      <c r="V125" s="31" t="s">
        <v>685</v>
      </c>
      <c r="W125" s="31" t="s">
        <v>685</v>
      </c>
      <c r="Y125" s="89"/>
    </row>
    <row r="126" spans="1:25" s="87" customFormat="1" ht="39.6" x14ac:dyDescent="0.3">
      <c r="A126" s="127">
        <f>A122</f>
        <v>5</v>
      </c>
      <c r="B126" s="127">
        <f>B123</f>
        <v>20</v>
      </c>
      <c r="C126" s="128" t="str">
        <f>CHAR(CODE(C123)+1)</f>
        <v>d</v>
      </c>
      <c r="D126" s="127" t="str">
        <f t="shared" ref="D126:D127" si="135">A126&amp;"-"&amp;B126&amp;C126</f>
        <v>5-20d</v>
      </c>
      <c r="E126" s="31" t="s">
        <v>106</v>
      </c>
      <c r="F126" s="31" t="s">
        <v>15</v>
      </c>
      <c r="G126" s="35" t="str">
        <f>G123</f>
        <v>Table G3.1 Section 14</v>
      </c>
      <c r="H126" s="31" t="s">
        <v>686</v>
      </c>
      <c r="I126" s="31" t="s">
        <v>687</v>
      </c>
      <c r="J126" s="31"/>
      <c r="K126" s="31"/>
      <c r="L126" s="87" t="s">
        <v>680</v>
      </c>
      <c r="M126" s="88" t="s">
        <v>696</v>
      </c>
      <c r="N126" s="88" t="s">
        <v>431</v>
      </c>
      <c r="O126" s="89" t="s">
        <v>122</v>
      </c>
      <c r="P126" s="31" t="s">
        <v>697</v>
      </c>
      <c r="Q126" s="35" t="s">
        <v>96</v>
      </c>
      <c r="R126" s="35">
        <v>1</v>
      </c>
      <c r="S126" s="35">
        <v>10000</v>
      </c>
      <c r="T126" s="35"/>
      <c r="U126" s="49" t="s">
        <v>681</v>
      </c>
      <c r="V126" s="31" t="s">
        <v>685</v>
      </c>
      <c r="W126" s="31" t="s">
        <v>682</v>
      </c>
      <c r="Y126" s="89"/>
    </row>
    <row r="127" spans="1:25" s="82" customFormat="1" ht="184.8" x14ac:dyDescent="0.3">
      <c r="A127" s="130">
        <f t="shared" ref="A127" si="136">A126</f>
        <v>5</v>
      </c>
      <c r="B127" s="130">
        <v>21</v>
      </c>
      <c r="C127" s="131" t="s">
        <v>110</v>
      </c>
      <c r="D127" s="130" t="str">
        <f t="shared" si="135"/>
        <v>5-21a</v>
      </c>
      <c r="E127" s="83" t="s">
        <v>106</v>
      </c>
      <c r="F127" s="83" t="s">
        <v>15</v>
      </c>
      <c r="G127" s="34" t="str">
        <f>'Appendix G Envelope Rules'!I22</f>
        <v>Table G3.1 Section 14</v>
      </c>
      <c r="H127" s="83" t="str">
        <f>'Appendix G Envelope Rules'!L22</f>
        <v>It is acceptable to use either an annual average ground temperature or monthly average ground temperatures for calculation of heat loss through basement floors.</v>
      </c>
      <c r="I127" s="83" t="s">
        <v>712</v>
      </c>
      <c r="J127" s="83"/>
      <c r="K127" s="83"/>
      <c r="L127" s="82" t="s">
        <v>680</v>
      </c>
      <c r="M127" s="84" t="s">
        <v>713</v>
      </c>
      <c r="N127" s="84" t="s">
        <v>112</v>
      </c>
      <c r="O127" s="85" t="s">
        <v>122</v>
      </c>
      <c r="P127" s="84" t="s">
        <v>713</v>
      </c>
      <c r="Q127" s="34" t="s">
        <v>96</v>
      </c>
      <c r="R127" s="34">
        <v>1</v>
      </c>
      <c r="S127" s="34">
        <v>10000</v>
      </c>
      <c r="T127" s="34"/>
      <c r="U127" s="86" t="s">
        <v>714</v>
      </c>
      <c r="V127" s="83"/>
      <c r="W127" s="83" t="s">
        <v>715</v>
      </c>
      <c r="X127" s="83" t="s">
        <v>715</v>
      </c>
      <c r="Y127" s="85"/>
    </row>
    <row r="128" spans="1:25" s="87" customFormat="1" ht="79.8" customHeight="1" x14ac:dyDescent="0.3">
      <c r="A128" s="127">
        <f t="shared" ref="A128" si="137">A127</f>
        <v>5</v>
      </c>
      <c r="B128" s="127">
        <v>22</v>
      </c>
      <c r="C128" s="128" t="s">
        <v>110</v>
      </c>
      <c r="D128" s="127" t="str">
        <f t="shared" ref="D128" si="138">A128&amp;"-"&amp;B128&amp;C128</f>
        <v>5-22a</v>
      </c>
      <c r="E128" s="31" t="s">
        <v>106</v>
      </c>
      <c r="F128" s="31" t="s">
        <v>15</v>
      </c>
      <c r="G128" s="35" t="str">
        <f>'Appendix G Envelope Rules'!I23</f>
        <v>Table G3.1 Section 5 baseline column</v>
      </c>
      <c r="H128" s="31" t="str">
        <f>'Appendix G Envelope Rules'!M23</f>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28" s="31" t="s">
        <v>733</v>
      </c>
      <c r="J128" s="31"/>
      <c r="K128" s="31"/>
      <c r="L128" s="87" t="s">
        <v>680</v>
      </c>
      <c r="M128" s="88" t="s">
        <v>734</v>
      </c>
      <c r="N128" s="88" t="s">
        <v>112</v>
      </c>
      <c r="O128" s="89" t="s">
        <v>122</v>
      </c>
      <c r="P128" s="88" t="s">
        <v>734</v>
      </c>
      <c r="Q128" s="35" t="s">
        <v>96</v>
      </c>
      <c r="R128" s="35">
        <v>1</v>
      </c>
      <c r="S128" s="35">
        <v>10000</v>
      </c>
      <c r="T128" s="35"/>
      <c r="U128" s="49" t="s">
        <v>735</v>
      </c>
      <c r="V128" s="31"/>
      <c r="W128" s="31" t="s">
        <v>736</v>
      </c>
      <c r="X128" s="31" t="s">
        <v>736</v>
      </c>
      <c r="Y128" s="89"/>
    </row>
    <row r="129" spans="1:25" s="87" customFormat="1" ht="74.400000000000006" customHeight="1" x14ac:dyDescent="0.3">
      <c r="A129" s="127">
        <f t="shared" ref="A129" si="139">A128</f>
        <v>5</v>
      </c>
      <c r="B129" s="127">
        <v>22</v>
      </c>
      <c r="C129" s="128" t="str">
        <f t="shared" ref="C129:C140" si="140">CHAR(CODE(C128)+1)</f>
        <v>b</v>
      </c>
      <c r="D129" s="127" t="str">
        <f t="shared" ref="D129" si="141">A129&amp;"-"&amp;B129&amp;C129</f>
        <v>5-22b</v>
      </c>
      <c r="E129" s="31" t="s">
        <v>106</v>
      </c>
      <c r="F129" s="31" t="s">
        <v>15</v>
      </c>
      <c r="G129" s="35" t="str">
        <f t="shared" ref="G129:G140" si="142">G128</f>
        <v>Table G3.1 Section 5 baseline column</v>
      </c>
      <c r="H129" s="31" t="str">
        <f t="shared" ref="H129:H140" si="143">H128</f>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29" s="31" t="s">
        <v>733</v>
      </c>
      <c r="J129" s="31"/>
      <c r="K129" s="31"/>
      <c r="L129" s="87" t="s">
        <v>680</v>
      </c>
      <c r="M129" s="88" t="s">
        <v>737</v>
      </c>
      <c r="N129" s="88" t="s">
        <v>112</v>
      </c>
      <c r="O129" s="89" t="s">
        <v>124</v>
      </c>
      <c r="P129" s="88" t="s">
        <v>737</v>
      </c>
      <c r="Q129" s="35" t="s">
        <v>96</v>
      </c>
      <c r="R129" s="35">
        <v>1</v>
      </c>
      <c r="S129" s="35">
        <v>10000</v>
      </c>
      <c r="T129" s="35"/>
      <c r="U129" s="49" t="s">
        <v>735</v>
      </c>
      <c r="V129" s="31"/>
      <c r="W129" s="31" t="s">
        <v>736</v>
      </c>
      <c r="X129" s="31" t="s">
        <v>738</v>
      </c>
      <c r="Y129" s="89"/>
    </row>
    <row r="130" spans="1:25" s="87" customFormat="1" ht="73.2" customHeight="1" x14ac:dyDescent="0.3">
      <c r="A130" s="127">
        <f t="shared" ref="A130:A131" si="144">A129</f>
        <v>5</v>
      </c>
      <c r="B130" s="127">
        <v>22</v>
      </c>
      <c r="C130" s="128" t="str">
        <f t="shared" si="140"/>
        <v>c</v>
      </c>
      <c r="D130" s="127" t="str">
        <f t="shared" ref="D130:D131" si="145">A130&amp;"-"&amp;B130&amp;C130</f>
        <v>5-22c</v>
      </c>
      <c r="E130" s="31" t="s">
        <v>106</v>
      </c>
      <c r="F130" s="31" t="s">
        <v>15</v>
      </c>
      <c r="G130" s="35" t="str">
        <f t="shared" si="142"/>
        <v>Table G3.1 Section 5 baseline column</v>
      </c>
      <c r="H130"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0" s="31" t="s">
        <v>743</v>
      </c>
      <c r="J130" s="31"/>
      <c r="K130" s="31"/>
      <c r="L130" s="87" t="s">
        <v>680</v>
      </c>
      <c r="M130" s="88" t="s">
        <v>747</v>
      </c>
      <c r="N130" s="88" t="s">
        <v>112</v>
      </c>
      <c r="O130" s="89" t="s">
        <v>122</v>
      </c>
      <c r="P130" s="88" t="s">
        <v>739</v>
      </c>
      <c r="Q130" s="35" t="s">
        <v>96</v>
      </c>
      <c r="R130" s="35">
        <v>1</v>
      </c>
      <c r="S130" s="35">
        <v>10000</v>
      </c>
      <c r="T130" s="35"/>
      <c r="U130" s="49" t="s">
        <v>740</v>
      </c>
      <c r="V130" s="31"/>
      <c r="W130" s="31" t="s">
        <v>736</v>
      </c>
      <c r="X130" s="31" t="s">
        <v>738</v>
      </c>
      <c r="Y130" s="89"/>
    </row>
    <row r="131" spans="1:25" s="87" customFormat="1" ht="88.2" customHeight="1" x14ac:dyDescent="0.3">
      <c r="A131" s="127">
        <f t="shared" si="144"/>
        <v>5</v>
      </c>
      <c r="B131" s="127">
        <v>22</v>
      </c>
      <c r="C131" s="128" t="str">
        <f t="shared" si="140"/>
        <v>d</v>
      </c>
      <c r="D131" s="127" t="str">
        <f t="shared" si="145"/>
        <v>5-22d</v>
      </c>
      <c r="E131" s="31" t="s">
        <v>106</v>
      </c>
      <c r="F131" s="31" t="s">
        <v>15</v>
      </c>
      <c r="G131" s="35" t="str">
        <f t="shared" si="142"/>
        <v>Table G3.1 Section 5 baseline column</v>
      </c>
      <c r="H131" s="31"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1" s="31" t="s">
        <v>741</v>
      </c>
      <c r="J131" s="31"/>
      <c r="K131" s="31"/>
      <c r="L131" s="87" t="s">
        <v>680</v>
      </c>
      <c r="M131" s="88" t="s">
        <v>748</v>
      </c>
      <c r="N131" s="88" t="s">
        <v>112</v>
      </c>
      <c r="O131" s="89" t="s">
        <v>124</v>
      </c>
      <c r="P131" s="88" t="s">
        <v>742</v>
      </c>
      <c r="Q131" s="35" t="s">
        <v>96</v>
      </c>
      <c r="R131" s="35">
        <v>1</v>
      </c>
      <c r="S131" s="35">
        <v>10000</v>
      </c>
      <c r="T131" s="35"/>
      <c r="U131" s="49" t="s">
        <v>740</v>
      </c>
      <c r="V131" s="31"/>
      <c r="W131" s="31" t="s">
        <v>736</v>
      </c>
      <c r="X131" s="31" t="s">
        <v>746</v>
      </c>
      <c r="Y131" s="89"/>
    </row>
    <row r="132" spans="1:25" s="87" customFormat="1" ht="42.6" customHeight="1" x14ac:dyDescent="0.3">
      <c r="A132" s="127">
        <f t="shared" ref="A132:A133" si="146">A131</f>
        <v>5</v>
      </c>
      <c r="B132" s="127">
        <v>22</v>
      </c>
      <c r="C132" s="128" t="str">
        <f t="shared" si="140"/>
        <v>e</v>
      </c>
      <c r="D132" s="127" t="str">
        <f t="shared" ref="D132:D133" si="147">A132&amp;"-"&amp;B132&amp;C132</f>
        <v>5-22e</v>
      </c>
      <c r="E132" s="31" t="s">
        <v>106</v>
      </c>
      <c r="F132" s="31" t="s">
        <v>15</v>
      </c>
      <c r="G132" s="35" t="str">
        <f t="shared" si="142"/>
        <v>Table G3.1 Section 5 baseline column</v>
      </c>
      <c r="H132"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2" s="31" t="s">
        <v>744</v>
      </c>
      <c r="J132" s="31"/>
      <c r="K132" s="31"/>
      <c r="L132" s="87" t="s">
        <v>680</v>
      </c>
      <c r="M132" s="88" t="s">
        <v>745</v>
      </c>
      <c r="N132" s="88" t="s">
        <v>112</v>
      </c>
      <c r="O132" s="89" t="s">
        <v>122</v>
      </c>
      <c r="P132" s="88" t="s">
        <v>745</v>
      </c>
      <c r="Q132" s="35" t="s">
        <v>96</v>
      </c>
      <c r="R132" s="35">
        <v>1</v>
      </c>
      <c r="S132" s="35">
        <v>10000</v>
      </c>
      <c r="T132" s="35"/>
      <c r="U132" s="49" t="s">
        <v>749</v>
      </c>
      <c r="V132" s="31"/>
      <c r="W132" s="31" t="s">
        <v>750</v>
      </c>
      <c r="X132" s="31" t="s">
        <v>751</v>
      </c>
      <c r="Y132" s="89"/>
    </row>
    <row r="133" spans="1:25" s="87" customFormat="1" ht="40.799999999999997" customHeight="1" x14ac:dyDescent="0.3">
      <c r="A133" s="127">
        <f t="shared" si="146"/>
        <v>5</v>
      </c>
      <c r="B133" s="127">
        <v>22</v>
      </c>
      <c r="C133" s="128" t="str">
        <f t="shared" si="140"/>
        <v>f</v>
      </c>
      <c r="D133" s="127" t="str">
        <f t="shared" si="147"/>
        <v>5-22f</v>
      </c>
      <c r="E133" s="31" t="s">
        <v>106</v>
      </c>
      <c r="F133" s="31" t="s">
        <v>15</v>
      </c>
      <c r="G133" s="35" t="str">
        <f t="shared" si="142"/>
        <v>Table G3.1 Section 5 baseline column</v>
      </c>
      <c r="H133" s="31"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3" s="31" t="s">
        <v>741</v>
      </c>
      <c r="J133" s="31"/>
      <c r="K133" s="31"/>
      <c r="L133" s="87" t="s">
        <v>680</v>
      </c>
      <c r="M133" s="88" t="s">
        <v>752</v>
      </c>
      <c r="N133" s="88" t="s">
        <v>112</v>
      </c>
      <c r="O133" s="89" t="s">
        <v>124</v>
      </c>
      <c r="P133" s="88" t="s">
        <v>752</v>
      </c>
      <c r="Q133" s="35" t="s">
        <v>96</v>
      </c>
      <c r="R133" s="35">
        <v>1</v>
      </c>
      <c r="S133" s="35">
        <v>10000</v>
      </c>
      <c r="T133" s="35"/>
      <c r="U133" s="49" t="s">
        <v>749</v>
      </c>
      <c r="V133" s="31"/>
      <c r="W133" s="31" t="s">
        <v>750</v>
      </c>
      <c r="X133" s="31" t="s">
        <v>753</v>
      </c>
      <c r="Y133" s="89"/>
    </row>
    <row r="134" spans="1:25" s="87" customFormat="1" ht="43.2" customHeight="1" x14ac:dyDescent="0.3">
      <c r="A134" s="127">
        <f t="shared" ref="A134:A135" si="148">A133</f>
        <v>5</v>
      </c>
      <c r="B134" s="127">
        <v>22</v>
      </c>
      <c r="C134" s="128" t="str">
        <f t="shared" si="140"/>
        <v>g</v>
      </c>
      <c r="D134" s="127" t="str">
        <f t="shared" ref="D134:D135" si="149">A134&amp;"-"&amp;B134&amp;C134</f>
        <v>5-22g</v>
      </c>
      <c r="E134" s="31" t="s">
        <v>106</v>
      </c>
      <c r="F134" s="31" t="s">
        <v>15</v>
      </c>
      <c r="G134" s="35" t="str">
        <f t="shared" si="142"/>
        <v>Table G3.1 Section 5 baseline column</v>
      </c>
      <c r="H134" s="31"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4" s="31" t="s">
        <v>741</v>
      </c>
      <c r="J134" s="31"/>
      <c r="K134" s="31"/>
      <c r="L134" s="87" t="s">
        <v>680</v>
      </c>
      <c r="M134" s="88" t="s">
        <v>754</v>
      </c>
      <c r="N134" s="88" t="s">
        <v>431</v>
      </c>
      <c r="O134" s="89" t="s">
        <v>122</v>
      </c>
      <c r="P134" s="88" t="s">
        <v>754</v>
      </c>
      <c r="Q134" s="35" t="s">
        <v>96</v>
      </c>
      <c r="R134" s="35">
        <v>1</v>
      </c>
      <c r="S134" s="35">
        <v>10000</v>
      </c>
      <c r="T134" s="35"/>
      <c r="U134" s="49" t="s">
        <v>749</v>
      </c>
      <c r="V134" s="31" t="s">
        <v>753</v>
      </c>
      <c r="W134" s="31" t="s">
        <v>750</v>
      </c>
      <c r="Y134" s="89"/>
    </row>
    <row r="135" spans="1:25" s="87" customFormat="1" ht="73.8" customHeight="1" x14ac:dyDescent="0.3">
      <c r="A135" s="127">
        <f t="shared" si="148"/>
        <v>5</v>
      </c>
      <c r="B135" s="127">
        <v>22</v>
      </c>
      <c r="C135" s="128" t="str">
        <f t="shared" si="140"/>
        <v>h</v>
      </c>
      <c r="D135" s="127" t="str">
        <f t="shared" si="149"/>
        <v>5-22h</v>
      </c>
      <c r="E135" s="31" t="s">
        <v>106</v>
      </c>
      <c r="F135" s="31" t="s">
        <v>15</v>
      </c>
      <c r="G135" s="35" t="str">
        <f t="shared" si="142"/>
        <v>Table G3.1 Section 5 baseline column</v>
      </c>
      <c r="H135"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5" s="31" t="s">
        <v>755</v>
      </c>
      <c r="J135" s="31"/>
      <c r="K135" s="31"/>
      <c r="L135" s="87" t="s">
        <v>680</v>
      </c>
      <c r="M135" s="88" t="s">
        <v>758</v>
      </c>
      <c r="N135" s="88" t="s">
        <v>112</v>
      </c>
      <c r="O135" s="89" t="s">
        <v>122</v>
      </c>
      <c r="P135" s="88" t="s">
        <v>756</v>
      </c>
      <c r="Q135" s="35" t="s">
        <v>96</v>
      </c>
      <c r="R135" s="35">
        <v>1</v>
      </c>
      <c r="S135" s="35">
        <v>10000</v>
      </c>
      <c r="T135" s="35"/>
      <c r="U135" s="49" t="s">
        <v>757</v>
      </c>
      <c r="V135" s="31"/>
      <c r="W135" s="31" t="s">
        <v>759</v>
      </c>
      <c r="X135" s="31" t="s">
        <v>759</v>
      </c>
      <c r="Y135" s="89"/>
    </row>
    <row r="136" spans="1:25" s="87" customFormat="1" ht="76.8" customHeight="1" x14ac:dyDescent="0.3">
      <c r="A136" s="127">
        <f t="shared" ref="A136" si="150">A135</f>
        <v>5</v>
      </c>
      <c r="B136" s="127">
        <v>22</v>
      </c>
      <c r="C136" s="128" t="str">
        <f t="shared" si="140"/>
        <v>i</v>
      </c>
      <c r="D136" s="127" t="str">
        <f t="shared" ref="D136" si="151">A136&amp;"-"&amp;B136&amp;C136</f>
        <v>5-22i</v>
      </c>
      <c r="E136" s="31" t="s">
        <v>106</v>
      </c>
      <c r="F136" s="31" t="s">
        <v>15</v>
      </c>
      <c r="G136" s="35" t="str">
        <f t="shared" si="142"/>
        <v>Table G3.1 Section 5 baseline column</v>
      </c>
      <c r="H136"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6" s="31" t="s">
        <v>755</v>
      </c>
      <c r="J136" s="31"/>
      <c r="K136" s="31"/>
      <c r="L136" s="87" t="s">
        <v>680</v>
      </c>
      <c r="M136" s="88" t="s">
        <v>760</v>
      </c>
      <c r="N136" s="88" t="s">
        <v>112</v>
      </c>
      <c r="O136" s="89" t="s">
        <v>124</v>
      </c>
      <c r="P136" s="88" t="s">
        <v>761</v>
      </c>
      <c r="Q136" s="35" t="s">
        <v>96</v>
      </c>
      <c r="R136" s="35">
        <v>1</v>
      </c>
      <c r="S136" s="35">
        <v>10000</v>
      </c>
      <c r="T136" s="35"/>
      <c r="U136" s="49" t="s">
        <v>757</v>
      </c>
      <c r="V136" s="31"/>
      <c r="W136" s="31" t="s">
        <v>759</v>
      </c>
      <c r="X136" s="31" t="s">
        <v>762</v>
      </c>
      <c r="Y136" s="89"/>
    </row>
    <row r="137" spans="1:25" s="87" customFormat="1" ht="76.8" customHeight="1" x14ac:dyDescent="0.3">
      <c r="A137" s="127">
        <f t="shared" ref="A137:A146" si="152">A136</f>
        <v>5</v>
      </c>
      <c r="B137" s="127">
        <v>22</v>
      </c>
      <c r="C137" s="128" t="str">
        <f t="shared" si="140"/>
        <v>j</v>
      </c>
      <c r="D137" s="127" t="str">
        <f t="shared" ref="D137:D142" si="153">A137&amp;"-"&amp;B137&amp;C137</f>
        <v>5-22j</v>
      </c>
      <c r="E137" s="31" t="s">
        <v>106</v>
      </c>
      <c r="F137" s="31" t="s">
        <v>15</v>
      </c>
      <c r="G137" s="35" t="str">
        <f t="shared" si="142"/>
        <v>Table G3.1 Section 5 baseline column</v>
      </c>
      <c r="H137"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7" s="31" t="s">
        <v>755</v>
      </c>
      <c r="J137" s="31"/>
      <c r="K137" s="31"/>
      <c r="L137" s="87" t="s">
        <v>680</v>
      </c>
      <c r="M137" s="88" t="s">
        <v>763</v>
      </c>
      <c r="N137" s="88" t="s">
        <v>431</v>
      </c>
      <c r="O137" s="89" t="s">
        <v>122</v>
      </c>
      <c r="P137" s="88" t="s">
        <v>764</v>
      </c>
      <c r="Q137" s="35" t="s">
        <v>96</v>
      </c>
      <c r="R137" s="35">
        <v>1</v>
      </c>
      <c r="S137" s="35">
        <v>10000</v>
      </c>
      <c r="T137" s="35"/>
      <c r="U137" s="49" t="s">
        <v>757</v>
      </c>
      <c r="V137" s="31" t="s">
        <v>759</v>
      </c>
      <c r="W137" s="31" t="s">
        <v>759</v>
      </c>
      <c r="X137" s="31"/>
      <c r="Y137" s="89"/>
    </row>
    <row r="138" spans="1:25" s="87" customFormat="1" ht="46.8" customHeight="1" x14ac:dyDescent="0.3">
      <c r="A138" s="127">
        <f t="shared" si="152"/>
        <v>5</v>
      </c>
      <c r="B138" s="127">
        <v>22</v>
      </c>
      <c r="C138" s="128" t="str">
        <f t="shared" si="140"/>
        <v>k</v>
      </c>
      <c r="D138" s="127" t="str">
        <f t="shared" si="153"/>
        <v>5-22k</v>
      </c>
      <c r="E138" s="31" t="s">
        <v>106</v>
      </c>
      <c r="F138" s="31" t="s">
        <v>15</v>
      </c>
      <c r="G138" s="35" t="str">
        <f t="shared" si="142"/>
        <v>Table G3.1 Section 5 baseline column</v>
      </c>
      <c r="H138" s="35"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8" s="31" t="s">
        <v>765</v>
      </c>
      <c r="J138" s="31"/>
      <c r="K138" s="31"/>
      <c r="L138" s="87" t="s">
        <v>680</v>
      </c>
      <c r="M138" s="88" t="s">
        <v>766</v>
      </c>
      <c r="N138" s="88" t="s">
        <v>112</v>
      </c>
      <c r="O138" s="89" t="s">
        <v>122</v>
      </c>
      <c r="P138" s="88" t="s">
        <v>766</v>
      </c>
      <c r="Q138" s="35" t="s">
        <v>96</v>
      </c>
      <c r="R138" s="35">
        <v>1</v>
      </c>
      <c r="S138" s="35">
        <v>10000</v>
      </c>
      <c r="T138" s="35"/>
      <c r="U138" s="49" t="s">
        <v>767</v>
      </c>
      <c r="V138" s="31"/>
      <c r="W138" s="31" t="s">
        <v>768</v>
      </c>
      <c r="X138" s="31" t="s">
        <v>769</v>
      </c>
      <c r="Y138" s="89"/>
    </row>
    <row r="139" spans="1:25" s="87" customFormat="1" ht="40.799999999999997" customHeight="1" x14ac:dyDescent="0.3">
      <c r="A139" s="127">
        <f t="shared" si="152"/>
        <v>5</v>
      </c>
      <c r="B139" s="127">
        <v>22</v>
      </c>
      <c r="C139" s="128" t="str">
        <f t="shared" si="140"/>
        <v>l</v>
      </c>
      <c r="D139" s="127" t="str">
        <f t="shared" si="153"/>
        <v>5-22l</v>
      </c>
      <c r="E139" s="31" t="s">
        <v>106</v>
      </c>
      <c r="F139" s="31" t="s">
        <v>15</v>
      </c>
      <c r="G139" s="35" t="str">
        <f t="shared" si="142"/>
        <v>Table G3.1 Section 5 baseline column</v>
      </c>
      <c r="H139" s="31"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39" s="31" t="s">
        <v>765</v>
      </c>
      <c r="J139" s="31"/>
      <c r="K139" s="31"/>
      <c r="L139" s="87" t="s">
        <v>680</v>
      </c>
      <c r="M139" s="88" t="s">
        <v>770</v>
      </c>
      <c r="N139" s="88" t="s">
        <v>112</v>
      </c>
      <c r="O139" s="89" t="s">
        <v>124</v>
      </c>
      <c r="P139" s="88" t="s">
        <v>771</v>
      </c>
      <c r="Q139" s="35" t="s">
        <v>96</v>
      </c>
      <c r="R139" s="35">
        <v>1</v>
      </c>
      <c r="S139" s="35">
        <v>10000</v>
      </c>
      <c r="T139" s="35"/>
      <c r="U139" s="49" t="s">
        <v>767</v>
      </c>
      <c r="V139" s="31"/>
      <c r="W139" s="31" t="s">
        <v>772</v>
      </c>
      <c r="X139" s="31" t="s">
        <v>769</v>
      </c>
      <c r="Y139" s="89"/>
    </row>
    <row r="140" spans="1:25" s="87" customFormat="1" ht="43.2" customHeight="1" x14ac:dyDescent="0.3">
      <c r="A140" s="127">
        <f t="shared" si="152"/>
        <v>5</v>
      </c>
      <c r="B140" s="127">
        <v>22</v>
      </c>
      <c r="C140" s="128" t="str">
        <f t="shared" si="140"/>
        <v>m</v>
      </c>
      <c r="D140" s="127" t="str">
        <f t="shared" si="153"/>
        <v>5-22m</v>
      </c>
      <c r="E140" s="31" t="s">
        <v>106</v>
      </c>
      <c r="F140" s="31" t="s">
        <v>15</v>
      </c>
      <c r="G140" s="35" t="str">
        <f t="shared" si="142"/>
        <v>Table G3.1 Section 5 baseline column</v>
      </c>
      <c r="H140" s="31" t="str">
        <f t="shared" si="143"/>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0" s="31" t="s">
        <v>765</v>
      </c>
      <c r="J140" s="31"/>
      <c r="K140" s="31"/>
      <c r="L140" s="87" t="s">
        <v>680</v>
      </c>
      <c r="M140" s="88" t="s">
        <v>773</v>
      </c>
      <c r="N140" s="88" t="s">
        <v>431</v>
      </c>
      <c r="O140" s="89" t="s">
        <v>122</v>
      </c>
      <c r="P140" s="88" t="s">
        <v>773</v>
      </c>
      <c r="Q140" s="35" t="s">
        <v>96</v>
      </c>
      <c r="R140" s="35">
        <v>1</v>
      </c>
      <c r="S140" s="35">
        <v>10000</v>
      </c>
      <c r="T140" s="35"/>
      <c r="U140" s="49" t="s">
        <v>767</v>
      </c>
      <c r="V140" s="31" t="s">
        <v>768</v>
      </c>
      <c r="W140" s="31" t="s">
        <v>769</v>
      </c>
      <c r="Y140" s="89"/>
    </row>
    <row r="141" spans="1:25" s="87" customFormat="1" ht="73.8" customHeight="1" x14ac:dyDescent="0.3">
      <c r="A141" s="127">
        <f t="shared" si="152"/>
        <v>5</v>
      </c>
      <c r="B141" s="127">
        <v>22</v>
      </c>
      <c r="C141" s="128" t="str">
        <f t="shared" ref="C141:C146" si="154">CHAR(CODE(C140)+1)</f>
        <v>n</v>
      </c>
      <c r="D141" s="127" t="str">
        <f t="shared" si="153"/>
        <v>5-22n</v>
      </c>
      <c r="E141" s="31" t="s">
        <v>106</v>
      </c>
      <c r="F141" s="31" t="s">
        <v>15</v>
      </c>
      <c r="G141" s="35" t="str">
        <f t="shared" ref="G141:G146" si="155">G140</f>
        <v>Table G3.1 Section 5 baseline column</v>
      </c>
      <c r="H141" s="35" t="str">
        <f t="shared" ref="H141:H146" si="156">H140</f>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1" s="31" t="s">
        <v>774</v>
      </c>
      <c r="J141" s="31"/>
      <c r="K141" s="31"/>
      <c r="L141" s="87" t="s">
        <v>680</v>
      </c>
      <c r="M141" s="88" t="s">
        <v>775</v>
      </c>
      <c r="N141" s="88" t="s">
        <v>112</v>
      </c>
      <c r="O141" s="89" t="s">
        <v>122</v>
      </c>
      <c r="P141" s="88" t="s">
        <v>778</v>
      </c>
      <c r="Q141" s="35" t="s">
        <v>96</v>
      </c>
      <c r="R141" s="35">
        <v>1</v>
      </c>
      <c r="S141" s="35">
        <v>10000</v>
      </c>
      <c r="T141" s="35"/>
      <c r="U141" s="49" t="s">
        <v>781</v>
      </c>
      <c r="V141" s="31"/>
      <c r="W141" s="31" t="s">
        <v>759</v>
      </c>
      <c r="X141" s="31" t="s">
        <v>759</v>
      </c>
      <c r="Y141" s="89"/>
    </row>
    <row r="142" spans="1:25" s="87" customFormat="1" ht="76.8" customHeight="1" x14ac:dyDescent="0.3">
      <c r="A142" s="127">
        <f t="shared" si="152"/>
        <v>5</v>
      </c>
      <c r="B142" s="127">
        <v>22</v>
      </c>
      <c r="C142" s="128" t="str">
        <f t="shared" si="154"/>
        <v>o</v>
      </c>
      <c r="D142" s="127" t="str">
        <f t="shared" si="153"/>
        <v>5-22o</v>
      </c>
      <c r="E142" s="31" t="s">
        <v>106</v>
      </c>
      <c r="F142" s="31" t="s">
        <v>15</v>
      </c>
      <c r="G142" s="35" t="str">
        <f t="shared" si="155"/>
        <v>Table G3.1 Section 5 baseline column</v>
      </c>
      <c r="H142" s="35" t="str">
        <f t="shared" si="156"/>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2" s="31" t="s">
        <v>774</v>
      </c>
      <c r="J142" s="31"/>
      <c r="K142" s="31"/>
      <c r="L142" s="87" t="s">
        <v>680</v>
      </c>
      <c r="M142" s="88" t="s">
        <v>776</v>
      </c>
      <c r="N142" s="88" t="s">
        <v>112</v>
      </c>
      <c r="O142" s="89" t="s">
        <v>124</v>
      </c>
      <c r="P142" s="88" t="s">
        <v>779</v>
      </c>
      <c r="Q142" s="35" t="s">
        <v>96</v>
      </c>
      <c r="R142" s="35">
        <v>1</v>
      </c>
      <c r="S142" s="35">
        <v>10000</v>
      </c>
      <c r="T142" s="35"/>
      <c r="U142" s="49" t="s">
        <v>781</v>
      </c>
      <c r="V142" s="31"/>
      <c r="W142" s="31" t="s">
        <v>759</v>
      </c>
      <c r="X142" s="31" t="s">
        <v>762</v>
      </c>
      <c r="Y142" s="89"/>
    </row>
    <row r="143" spans="1:25" s="87" customFormat="1" ht="76.8" customHeight="1" x14ac:dyDescent="0.3">
      <c r="A143" s="127">
        <f t="shared" si="152"/>
        <v>5</v>
      </c>
      <c r="B143" s="127">
        <v>22</v>
      </c>
      <c r="C143" s="128" t="str">
        <f t="shared" si="154"/>
        <v>p</v>
      </c>
      <c r="D143" s="127" t="str">
        <f t="shared" ref="D143:D146" si="157">A143&amp;"-"&amp;B143&amp;C143</f>
        <v>5-22p</v>
      </c>
      <c r="E143" s="31" t="s">
        <v>106</v>
      </c>
      <c r="F143" s="31" t="s">
        <v>15</v>
      </c>
      <c r="G143" s="35" t="str">
        <f t="shared" si="155"/>
        <v>Table G3.1 Section 5 baseline column</v>
      </c>
      <c r="H143" s="35" t="str">
        <f t="shared" si="156"/>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3" s="31" t="s">
        <v>774</v>
      </c>
      <c r="J143" s="31"/>
      <c r="K143" s="31"/>
      <c r="L143" s="87" t="s">
        <v>680</v>
      </c>
      <c r="M143" s="88" t="s">
        <v>777</v>
      </c>
      <c r="N143" s="88" t="s">
        <v>431</v>
      </c>
      <c r="O143" s="89" t="s">
        <v>122</v>
      </c>
      <c r="P143" s="88" t="s">
        <v>780</v>
      </c>
      <c r="Q143" s="35" t="s">
        <v>96</v>
      </c>
      <c r="R143" s="35">
        <v>1</v>
      </c>
      <c r="S143" s="35">
        <v>10000</v>
      </c>
      <c r="T143" s="35"/>
      <c r="U143" s="49" t="s">
        <v>781</v>
      </c>
      <c r="V143" s="31" t="s">
        <v>759</v>
      </c>
      <c r="W143" s="31" t="s">
        <v>759</v>
      </c>
      <c r="X143" s="31"/>
      <c r="Y143" s="89"/>
    </row>
    <row r="144" spans="1:25" s="109" customFormat="1" ht="130.80000000000001" customHeight="1" x14ac:dyDescent="0.3">
      <c r="A144" s="126">
        <f t="shared" si="152"/>
        <v>5</v>
      </c>
      <c r="B144" s="126">
        <v>22</v>
      </c>
      <c r="C144" s="129" t="str">
        <f t="shared" si="154"/>
        <v>q</v>
      </c>
      <c r="D144" s="126" t="str">
        <f t="shared" si="157"/>
        <v>5-22q</v>
      </c>
      <c r="E144" s="110" t="s">
        <v>106</v>
      </c>
      <c r="F144" s="110" t="s">
        <v>15</v>
      </c>
      <c r="G144" s="111" t="str">
        <f t="shared" si="155"/>
        <v>Table G3.1 Section 5 baseline column</v>
      </c>
      <c r="H144" s="111" t="str">
        <f t="shared" si="156"/>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4" s="110" t="s">
        <v>782</v>
      </c>
      <c r="J144" s="110"/>
      <c r="K144" s="110"/>
      <c r="L144" s="109" t="s">
        <v>680</v>
      </c>
      <c r="M144" s="112" t="s">
        <v>784</v>
      </c>
      <c r="N144" s="112" t="s">
        <v>112</v>
      </c>
      <c r="O144" s="113" t="s">
        <v>122</v>
      </c>
      <c r="P144" s="112" t="s">
        <v>787</v>
      </c>
      <c r="Q144" s="111" t="s">
        <v>96</v>
      </c>
      <c r="R144" s="111">
        <v>1</v>
      </c>
      <c r="S144" s="111">
        <v>10000</v>
      </c>
      <c r="T144" s="111"/>
      <c r="U144" s="114" t="s">
        <v>790</v>
      </c>
      <c r="V144" s="110"/>
      <c r="W144" s="110" t="s">
        <v>791</v>
      </c>
      <c r="X144" s="110" t="s">
        <v>791</v>
      </c>
      <c r="Y144" s="113"/>
    </row>
    <row r="145" spans="1:25" s="109" customFormat="1" ht="40.799999999999997" customHeight="1" x14ac:dyDescent="0.3">
      <c r="A145" s="126">
        <f t="shared" si="152"/>
        <v>5</v>
      </c>
      <c r="B145" s="126">
        <v>22</v>
      </c>
      <c r="C145" s="129" t="str">
        <f t="shared" si="154"/>
        <v>r</v>
      </c>
      <c r="D145" s="126" t="str">
        <f t="shared" si="157"/>
        <v>5-22r</v>
      </c>
      <c r="E145" s="110" t="s">
        <v>106</v>
      </c>
      <c r="F145" s="110" t="s">
        <v>15</v>
      </c>
      <c r="G145" s="111" t="str">
        <f t="shared" si="155"/>
        <v>Table G3.1 Section 5 baseline column</v>
      </c>
      <c r="H145" s="110" t="str">
        <f t="shared" si="156"/>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5" s="110" t="s">
        <v>782</v>
      </c>
      <c r="J145" s="110"/>
      <c r="K145" s="110"/>
      <c r="L145" s="109" t="s">
        <v>680</v>
      </c>
      <c r="M145" s="112" t="s">
        <v>785</v>
      </c>
      <c r="N145" s="112" t="s">
        <v>112</v>
      </c>
      <c r="O145" s="113" t="s">
        <v>124</v>
      </c>
      <c r="P145" s="112" t="s">
        <v>788</v>
      </c>
      <c r="Q145" s="111" t="s">
        <v>96</v>
      </c>
      <c r="R145" s="111">
        <v>1</v>
      </c>
      <c r="S145" s="111">
        <v>10000</v>
      </c>
      <c r="T145" s="111"/>
      <c r="U145" s="114" t="s">
        <v>790</v>
      </c>
      <c r="V145" s="110"/>
      <c r="W145" s="110" t="s">
        <v>792</v>
      </c>
      <c r="X145" s="110" t="s">
        <v>791</v>
      </c>
      <c r="Y145" s="113"/>
    </row>
    <row r="146" spans="1:25" s="109" customFormat="1" ht="43.2" customHeight="1" x14ac:dyDescent="0.3">
      <c r="A146" s="126">
        <f t="shared" si="152"/>
        <v>5</v>
      </c>
      <c r="B146" s="126">
        <v>22</v>
      </c>
      <c r="C146" s="129" t="str">
        <f t="shared" si="154"/>
        <v>s</v>
      </c>
      <c r="D146" s="126" t="str">
        <f t="shared" si="157"/>
        <v>5-22s</v>
      </c>
      <c r="E146" s="110" t="s">
        <v>106</v>
      </c>
      <c r="F146" s="110" t="s">
        <v>15</v>
      </c>
      <c r="G146" s="111" t="str">
        <f t="shared" si="155"/>
        <v>Table G3.1 Section 5 baseline column</v>
      </c>
      <c r="H146" s="110" t="str">
        <f t="shared" si="156"/>
        <v>Equivalent dimensions shall be assumed for each building envelope component type as in the proposed design; i.e., the total gross area of walls shall be the same in the proposed
design and baseline building design. The same shall be true for the areas of roofs, floors, and doors, and the exposed perimeters of concrete slabs on grade shall also be the same in the proposed design and baseline building design.</v>
      </c>
      <c r="I146" s="110" t="s">
        <v>783</v>
      </c>
      <c r="J146" s="110"/>
      <c r="K146" s="110"/>
      <c r="L146" s="109" t="s">
        <v>680</v>
      </c>
      <c r="M146" s="112" t="s">
        <v>786</v>
      </c>
      <c r="N146" s="112" t="s">
        <v>431</v>
      </c>
      <c r="O146" s="113" t="s">
        <v>122</v>
      </c>
      <c r="P146" s="112" t="s">
        <v>789</v>
      </c>
      <c r="Q146" s="111" t="s">
        <v>96</v>
      </c>
      <c r="R146" s="111">
        <v>1</v>
      </c>
      <c r="S146" s="111">
        <v>10000</v>
      </c>
      <c r="T146" s="111"/>
      <c r="U146" s="114" t="s">
        <v>790</v>
      </c>
      <c r="V146" s="110" t="s">
        <v>791</v>
      </c>
      <c r="W146" s="110" t="s">
        <v>791</v>
      </c>
      <c r="Y146" s="113"/>
    </row>
    <row r="147" spans="1:25" x14ac:dyDescent="0.25">
      <c r="A147" s="51"/>
      <c r="B147" s="51"/>
      <c r="C147" s="51"/>
      <c r="D147" s="134"/>
      <c r="Q147" s="29"/>
      <c r="R147" s="29"/>
      <c r="S147" s="29"/>
      <c r="T147" s="29"/>
      <c r="V147" s="37"/>
      <c r="W147" s="37"/>
      <c r="X147" s="37"/>
    </row>
    <row r="148" spans="1:25" x14ac:dyDescent="0.25">
      <c r="A148" s="51"/>
      <c r="B148" s="51"/>
      <c r="C148" s="51"/>
      <c r="D148" s="134"/>
      <c r="Q148" s="29"/>
      <c r="R148" s="29"/>
      <c r="S148" s="29"/>
      <c r="T148" s="29"/>
      <c r="V148" s="37"/>
      <c r="W148" s="37"/>
      <c r="X148" s="37"/>
    </row>
    <row r="149" spans="1:25" x14ac:dyDescent="0.25">
      <c r="A149" s="51"/>
      <c r="B149" s="51"/>
      <c r="C149" s="51"/>
      <c r="D149" s="134"/>
      <c r="Q149" s="29"/>
      <c r="R149" s="29"/>
      <c r="S149" s="29"/>
      <c r="T149" s="29"/>
      <c r="V149" s="37"/>
      <c r="W149" s="37"/>
      <c r="X149" s="37"/>
    </row>
    <row r="150" spans="1:25" x14ac:dyDescent="0.25">
      <c r="A150" s="51"/>
      <c r="B150" s="51"/>
      <c r="C150" s="51"/>
      <c r="D150" s="134"/>
      <c r="Q150" s="29"/>
      <c r="R150" s="29"/>
      <c r="S150" s="29"/>
      <c r="T150" s="29"/>
      <c r="V150" s="37"/>
      <c r="W150" s="37"/>
      <c r="X150" s="37"/>
    </row>
    <row r="151" spans="1:25" x14ac:dyDescent="0.25">
      <c r="A151" s="51"/>
      <c r="B151" s="51"/>
      <c r="C151" s="51"/>
      <c r="D151" s="134"/>
      <c r="Q151" s="29"/>
      <c r="R151" s="29"/>
      <c r="S151" s="29"/>
      <c r="T151" s="29"/>
      <c r="V151" s="37"/>
      <c r="W151" s="37"/>
      <c r="X151" s="37"/>
    </row>
    <row r="152" spans="1:25" x14ac:dyDescent="0.25">
      <c r="A152" s="51"/>
      <c r="B152" s="51"/>
      <c r="C152" s="51"/>
      <c r="D152" s="134"/>
      <c r="Q152" s="29"/>
      <c r="R152" s="29"/>
      <c r="S152" s="29"/>
      <c r="T152" s="29"/>
      <c r="V152" s="37"/>
      <c r="W152" s="37"/>
      <c r="X152" s="37"/>
    </row>
    <row r="153" spans="1:25" x14ac:dyDescent="0.25">
      <c r="A153" s="51"/>
      <c r="B153" s="51"/>
      <c r="C153" s="51"/>
      <c r="D153" s="134"/>
      <c r="Q153" s="29"/>
      <c r="R153" s="29"/>
      <c r="S153" s="29"/>
      <c r="T153" s="29"/>
      <c r="V153" s="37"/>
      <c r="W153" s="37"/>
      <c r="X153" s="37"/>
    </row>
    <row r="154" spans="1:25" x14ac:dyDescent="0.25">
      <c r="A154" s="51"/>
      <c r="B154" s="51"/>
      <c r="C154" s="51"/>
      <c r="D154" s="134"/>
      <c r="Q154" s="29"/>
      <c r="R154" s="29"/>
      <c r="S154" s="29"/>
      <c r="T154" s="29"/>
      <c r="V154" s="37"/>
      <c r="W154" s="37"/>
      <c r="X154" s="37"/>
    </row>
    <row r="155" spans="1:25" x14ac:dyDescent="0.25">
      <c r="A155" s="51"/>
      <c r="B155" s="51"/>
      <c r="C155" s="51"/>
      <c r="D155" s="134"/>
      <c r="Q155" s="29"/>
      <c r="R155" s="29"/>
      <c r="S155" s="29"/>
      <c r="T155" s="29"/>
      <c r="V155" s="37"/>
      <c r="W155" s="37"/>
      <c r="X155" s="37"/>
    </row>
    <row r="156" spans="1:25" x14ac:dyDescent="0.25">
      <c r="A156" s="51"/>
      <c r="B156" s="51"/>
      <c r="C156" s="51"/>
      <c r="D156" s="134"/>
      <c r="Q156" s="29"/>
      <c r="R156" s="29"/>
      <c r="S156" s="29"/>
      <c r="T156" s="29"/>
      <c r="V156" s="37"/>
      <c r="W156" s="37"/>
      <c r="X156" s="37"/>
    </row>
    <row r="157" spans="1:25" x14ac:dyDescent="0.25">
      <c r="A157" s="51"/>
      <c r="B157" s="51"/>
      <c r="C157" s="51"/>
      <c r="D157" s="134"/>
      <c r="Q157" s="29"/>
      <c r="R157" s="29"/>
      <c r="S157" s="29"/>
      <c r="T157" s="29"/>
      <c r="V157" s="37"/>
      <c r="W157" s="37"/>
      <c r="X157" s="37"/>
    </row>
    <row r="158" spans="1:25" x14ac:dyDescent="0.25">
      <c r="A158" s="51"/>
      <c r="B158" s="51"/>
      <c r="C158" s="51"/>
      <c r="D158" s="134"/>
      <c r="Q158" s="29"/>
      <c r="R158" s="29"/>
      <c r="S158" s="29"/>
      <c r="T158" s="29"/>
      <c r="V158" s="37"/>
      <c r="W158" s="37"/>
      <c r="X158" s="37"/>
    </row>
    <row r="159" spans="1:25" x14ac:dyDescent="0.25">
      <c r="A159" s="51"/>
      <c r="B159" s="51"/>
      <c r="C159" s="51"/>
      <c r="D159" s="134"/>
      <c r="Q159" s="29"/>
      <c r="R159" s="29"/>
      <c r="S159" s="29"/>
      <c r="T159" s="29"/>
      <c r="V159" s="37"/>
      <c r="W159" s="37"/>
      <c r="X159" s="37"/>
    </row>
    <row r="160" spans="1:25" x14ac:dyDescent="0.25">
      <c r="A160" s="51"/>
      <c r="B160" s="51"/>
      <c r="C160" s="51"/>
      <c r="D160" s="134"/>
      <c r="Q160" s="29"/>
      <c r="R160" s="29"/>
      <c r="S160" s="29"/>
      <c r="T160" s="29"/>
      <c r="V160" s="37"/>
      <c r="W160" s="37"/>
      <c r="X160" s="37"/>
    </row>
    <row r="161" spans="1:24" x14ac:dyDescent="0.25">
      <c r="A161" s="51"/>
      <c r="B161" s="51"/>
      <c r="C161" s="51"/>
      <c r="D161" s="134"/>
      <c r="Q161" s="29"/>
      <c r="R161" s="29"/>
      <c r="S161" s="29"/>
      <c r="T161" s="29"/>
      <c r="V161" s="37"/>
      <c r="W161" s="37"/>
      <c r="X161" s="37"/>
    </row>
    <row r="162" spans="1:24" x14ac:dyDescent="0.25">
      <c r="A162" s="51"/>
      <c r="B162" s="51"/>
      <c r="C162" s="51"/>
      <c r="D162" s="134"/>
      <c r="Q162" s="29"/>
      <c r="R162" s="29"/>
      <c r="S162" s="29"/>
      <c r="T162" s="29"/>
      <c r="V162" s="37"/>
      <c r="W162" s="37"/>
      <c r="X162" s="37"/>
    </row>
    <row r="163" spans="1:24" x14ac:dyDescent="0.25">
      <c r="A163" s="51"/>
      <c r="B163" s="51"/>
      <c r="C163" s="51"/>
      <c r="D163" s="134"/>
      <c r="Q163" s="29"/>
      <c r="R163" s="29"/>
      <c r="S163" s="29"/>
      <c r="T163" s="29"/>
      <c r="V163" s="37"/>
      <c r="W163" s="37"/>
      <c r="X163" s="37"/>
    </row>
    <row r="164" spans="1:24" x14ac:dyDescent="0.25">
      <c r="A164" s="51"/>
      <c r="B164" s="51"/>
      <c r="C164" s="51"/>
      <c r="D164" s="134"/>
      <c r="Q164" s="29"/>
      <c r="R164" s="29"/>
      <c r="S164" s="29"/>
      <c r="T164" s="29"/>
      <c r="V164" s="37"/>
      <c r="W164" s="37"/>
      <c r="X164" s="37"/>
    </row>
    <row r="165" spans="1:24" x14ac:dyDescent="0.25">
      <c r="A165" s="51"/>
      <c r="B165" s="51"/>
      <c r="C165" s="51"/>
      <c r="D165" s="134"/>
      <c r="Q165" s="29"/>
      <c r="R165" s="29"/>
      <c r="S165" s="29"/>
      <c r="T165" s="29"/>
      <c r="V165" s="37"/>
      <c r="W165" s="37"/>
      <c r="X165" s="37"/>
    </row>
    <row r="166" spans="1:24" x14ac:dyDescent="0.25">
      <c r="A166" s="51"/>
      <c r="B166" s="51"/>
      <c r="C166" s="51"/>
      <c r="D166" s="134"/>
      <c r="Q166" s="29"/>
      <c r="R166" s="29"/>
      <c r="S166" s="29"/>
      <c r="T166" s="29"/>
      <c r="V166" s="37"/>
      <c r="W166" s="37"/>
      <c r="X166" s="37"/>
    </row>
    <row r="167" spans="1:24" x14ac:dyDescent="0.25">
      <c r="A167" s="51"/>
      <c r="B167" s="51"/>
      <c r="C167" s="51"/>
      <c r="D167" s="134"/>
      <c r="Q167" s="29"/>
      <c r="R167" s="29"/>
      <c r="S167" s="29"/>
      <c r="T167" s="29"/>
      <c r="V167" s="37"/>
      <c r="W167" s="37"/>
      <c r="X167" s="37"/>
    </row>
    <row r="168" spans="1:24" x14ac:dyDescent="0.25">
      <c r="A168" s="51"/>
      <c r="B168" s="51"/>
      <c r="C168" s="51"/>
      <c r="D168" s="134"/>
      <c r="Q168" s="29"/>
      <c r="R168" s="29"/>
      <c r="S168" s="29"/>
      <c r="T168" s="29"/>
      <c r="V168" s="37"/>
      <c r="W168" s="37"/>
      <c r="X168" s="37"/>
    </row>
    <row r="169" spans="1:24" x14ac:dyDescent="0.25">
      <c r="A169" s="51"/>
      <c r="B169" s="51"/>
      <c r="C169" s="51"/>
      <c r="D169" s="134"/>
      <c r="Q169" s="29"/>
      <c r="R169" s="29"/>
      <c r="S169" s="29"/>
      <c r="T169" s="29"/>
      <c r="V169" s="37"/>
      <c r="W169" s="37"/>
      <c r="X169" s="37"/>
    </row>
    <row r="170" spans="1:24" x14ac:dyDescent="0.25">
      <c r="A170" s="51"/>
      <c r="B170" s="51"/>
      <c r="C170" s="51"/>
      <c r="D170" s="134"/>
      <c r="Q170" s="29"/>
      <c r="R170" s="29"/>
      <c r="S170" s="29"/>
      <c r="T170" s="29"/>
      <c r="V170" s="37"/>
      <c r="W170" s="37"/>
      <c r="X170" s="37"/>
    </row>
    <row r="171" spans="1:24" x14ac:dyDescent="0.25">
      <c r="A171" s="51"/>
      <c r="B171" s="51"/>
      <c r="C171" s="51"/>
      <c r="D171" s="134"/>
      <c r="Q171" s="29"/>
      <c r="R171" s="29"/>
      <c r="S171" s="29"/>
      <c r="T171" s="29"/>
      <c r="V171" s="37"/>
      <c r="W171" s="37"/>
      <c r="X171" s="37"/>
    </row>
    <row r="172" spans="1:24" x14ac:dyDescent="0.25">
      <c r="A172" s="51"/>
      <c r="B172" s="51"/>
      <c r="C172" s="51"/>
      <c r="D172" s="134"/>
      <c r="Q172" s="29"/>
      <c r="R172" s="29"/>
      <c r="S172" s="29"/>
      <c r="T172" s="29"/>
      <c r="V172" s="37"/>
      <c r="W172" s="37"/>
      <c r="X172" s="37"/>
    </row>
    <row r="173" spans="1:24" x14ac:dyDescent="0.25">
      <c r="A173" s="51"/>
      <c r="B173" s="51"/>
      <c r="C173" s="51"/>
      <c r="D173" s="134"/>
      <c r="Q173" s="29"/>
      <c r="R173" s="29"/>
      <c r="S173" s="29"/>
      <c r="T173" s="29"/>
      <c r="V173" s="37"/>
      <c r="W173" s="37"/>
      <c r="X173" s="37"/>
    </row>
    <row r="174" spans="1:24" x14ac:dyDescent="0.25">
      <c r="A174" s="51"/>
      <c r="B174" s="51"/>
      <c r="C174" s="51"/>
      <c r="D174" s="134"/>
      <c r="Q174" s="29"/>
      <c r="R174" s="29"/>
      <c r="S174" s="29"/>
      <c r="T174" s="29"/>
      <c r="V174" s="37"/>
      <c r="W174" s="37"/>
      <c r="X174" s="37"/>
    </row>
    <row r="175" spans="1:24" x14ac:dyDescent="0.25">
      <c r="A175" s="51"/>
      <c r="B175" s="51"/>
      <c r="C175" s="51"/>
      <c r="D175" s="134"/>
      <c r="Q175" s="29"/>
      <c r="R175" s="29"/>
      <c r="S175" s="29"/>
      <c r="T175" s="29"/>
      <c r="V175" s="37"/>
      <c r="W175" s="37"/>
      <c r="X175" s="37"/>
    </row>
    <row r="176" spans="1:24" x14ac:dyDescent="0.25">
      <c r="A176" s="51"/>
      <c r="B176" s="51"/>
      <c r="C176" s="51"/>
      <c r="D176" s="134"/>
      <c r="Q176" s="29"/>
      <c r="R176" s="29"/>
      <c r="S176" s="29"/>
      <c r="T176" s="29"/>
      <c r="V176" s="37"/>
      <c r="W176" s="37"/>
      <c r="X176" s="37"/>
    </row>
    <row r="177" spans="1:24" x14ac:dyDescent="0.25">
      <c r="A177" s="51"/>
      <c r="B177" s="51"/>
      <c r="C177" s="51"/>
      <c r="D177" s="134"/>
      <c r="Q177" s="29"/>
      <c r="R177" s="29"/>
      <c r="S177" s="29"/>
      <c r="T177" s="29"/>
      <c r="V177" s="37"/>
      <c r="W177" s="37"/>
      <c r="X177" s="37"/>
    </row>
    <row r="178" spans="1:24" x14ac:dyDescent="0.25">
      <c r="A178" s="51"/>
      <c r="B178" s="51"/>
      <c r="C178" s="51"/>
      <c r="D178" s="134"/>
      <c r="Q178" s="29"/>
      <c r="R178" s="29"/>
      <c r="S178" s="29"/>
      <c r="T178" s="29"/>
      <c r="V178" s="37"/>
      <c r="W178" s="37"/>
      <c r="X178" s="37"/>
    </row>
    <row r="179" spans="1:24" x14ac:dyDescent="0.25">
      <c r="A179" s="51"/>
      <c r="B179" s="51"/>
      <c r="C179" s="51"/>
      <c r="D179" s="134"/>
      <c r="Q179" s="29"/>
      <c r="R179" s="29"/>
      <c r="S179" s="29"/>
      <c r="T179" s="29"/>
      <c r="V179" s="37"/>
      <c r="W179" s="37"/>
      <c r="X179" s="37"/>
    </row>
    <row r="180" spans="1:24" x14ac:dyDescent="0.25">
      <c r="A180" s="51"/>
      <c r="B180" s="51"/>
      <c r="C180" s="51"/>
      <c r="D180" s="134"/>
      <c r="Q180" s="29"/>
      <c r="R180" s="29"/>
      <c r="S180" s="29"/>
      <c r="T180" s="29"/>
      <c r="V180" s="37"/>
      <c r="W180" s="37"/>
      <c r="X180" s="37"/>
    </row>
    <row r="181" spans="1:24" x14ac:dyDescent="0.25">
      <c r="A181" s="51"/>
      <c r="B181" s="51"/>
      <c r="C181" s="51"/>
      <c r="D181" s="134"/>
      <c r="Q181" s="29"/>
      <c r="R181" s="29"/>
      <c r="S181" s="29"/>
      <c r="T181" s="29"/>
      <c r="V181" s="37"/>
      <c r="W181" s="37"/>
      <c r="X181" s="37"/>
    </row>
    <row r="182" spans="1:24" x14ac:dyDescent="0.25">
      <c r="A182" s="51"/>
      <c r="B182" s="51"/>
      <c r="C182" s="51"/>
      <c r="D182" s="134"/>
      <c r="Q182" s="29"/>
      <c r="R182" s="29"/>
      <c r="S182" s="29"/>
      <c r="T182" s="29"/>
      <c r="V182" s="37"/>
      <c r="W182" s="37"/>
      <c r="X182" s="37"/>
    </row>
    <row r="183" spans="1:24" x14ac:dyDescent="0.25">
      <c r="A183" s="51"/>
      <c r="B183" s="51"/>
      <c r="C183" s="51"/>
      <c r="D183" s="134"/>
      <c r="Q183" s="29"/>
      <c r="R183" s="29"/>
      <c r="S183" s="29"/>
      <c r="T183" s="29"/>
      <c r="V183" s="37"/>
      <c r="W183" s="37"/>
      <c r="X183" s="37"/>
    </row>
    <row r="184" spans="1:24" x14ac:dyDescent="0.25">
      <c r="A184" s="51"/>
      <c r="B184" s="51"/>
      <c r="C184" s="51"/>
      <c r="D184" s="134"/>
      <c r="Q184" s="29"/>
      <c r="R184" s="29"/>
      <c r="S184" s="29"/>
      <c r="T184" s="29"/>
      <c r="V184" s="37"/>
      <c r="W184" s="37"/>
      <c r="X184" s="37"/>
    </row>
    <row r="185" spans="1:24" x14ac:dyDescent="0.25">
      <c r="A185" s="51"/>
      <c r="B185" s="51"/>
      <c r="C185" s="51"/>
      <c r="D185" s="134"/>
      <c r="Q185" s="29"/>
      <c r="R185" s="29"/>
      <c r="S185" s="29"/>
      <c r="T185" s="29"/>
      <c r="V185" s="37"/>
      <c r="W185" s="37"/>
      <c r="X185" s="37"/>
    </row>
    <row r="186" spans="1:24" x14ac:dyDescent="0.25">
      <c r="A186" s="51"/>
      <c r="B186" s="51"/>
      <c r="C186" s="51"/>
      <c r="D186" s="134"/>
      <c r="Q186" s="29"/>
      <c r="R186" s="29"/>
      <c r="S186" s="29"/>
      <c r="T186" s="29"/>
      <c r="V186" s="37"/>
      <c r="W186" s="37"/>
      <c r="X186" s="37"/>
    </row>
    <row r="187" spans="1:24" x14ac:dyDescent="0.25">
      <c r="A187" s="51"/>
      <c r="B187" s="51"/>
      <c r="C187" s="51"/>
      <c r="D187" s="134"/>
      <c r="Q187" s="29"/>
      <c r="R187" s="29"/>
      <c r="S187" s="29"/>
      <c r="T187" s="29"/>
      <c r="V187" s="37"/>
      <c r="W187" s="37"/>
      <c r="X187" s="37"/>
    </row>
    <row r="188" spans="1:24" x14ac:dyDescent="0.25">
      <c r="A188" s="51"/>
      <c r="B188" s="51"/>
      <c r="C188" s="51"/>
      <c r="D188" s="134"/>
      <c r="Q188" s="29"/>
      <c r="R188" s="29"/>
      <c r="S188" s="29"/>
      <c r="T188" s="29"/>
      <c r="V188" s="37"/>
      <c r="W188" s="37"/>
      <c r="X188" s="37"/>
    </row>
    <row r="189" spans="1:24" x14ac:dyDescent="0.25">
      <c r="A189" s="51"/>
      <c r="B189" s="51"/>
      <c r="C189" s="51"/>
      <c r="D189" s="134"/>
      <c r="Q189" s="29"/>
      <c r="R189" s="29"/>
      <c r="S189" s="29"/>
      <c r="T189" s="29"/>
      <c r="V189" s="37"/>
      <c r="W189" s="37"/>
      <c r="X189" s="37"/>
    </row>
    <row r="190" spans="1:24" x14ac:dyDescent="0.25">
      <c r="A190" s="51"/>
      <c r="B190" s="51"/>
      <c r="C190" s="51"/>
      <c r="D190" s="134"/>
      <c r="Q190" s="29"/>
      <c r="R190" s="29"/>
      <c r="S190" s="29"/>
      <c r="T190" s="29"/>
      <c r="V190" s="37"/>
      <c r="W190" s="37"/>
      <c r="X190" s="37"/>
    </row>
    <row r="191" spans="1:24" x14ac:dyDescent="0.25">
      <c r="A191" s="51"/>
      <c r="B191" s="51"/>
      <c r="C191" s="51"/>
      <c r="D191" s="134"/>
      <c r="Q191" s="29"/>
      <c r="R191" s="29"/>
      <c r="S191" s="29"/>
      <c r="T191" s="29"/>
      <c r="V191" s="37"/>
      <c r="W191" s="37"/>
      <c r="X191" s="37"/>
    </row>
    <row r="192" spans="1:24" x14ac:dyDescent="0.25">
      <c r="A192" s="51"/>
      <c r="B192" s="51"/>
      <c r="C192" s="51"/>
      <c r="D192" s="134"/>
      <c r="Q192" s="29"/>
      <c r="R192" s="29"/>
      <c r="S192" s="29"/>
      <c r="T192" s="29"/>
      <c r="V192" s="37"/>
      <c r="W192" s="37"/>
      <c r="X192" s="37"/>
    </row>
    <row r="193" spans="1:24" x14ac:dyDescent="0.25">
      <c r="A193" s="51"/>
      <c r="B193" s="51"/>
      <c r="C193" s="51"/>
      <c r="D193" s="134"/>
      <c r="Q193" s="29"/>
      <c r="R193" s="29"/>
      <c r="S193" s="29"/>
      <c r="T193" s="29"/>
      <c r="V193" s="37"/>
      <c r="W193" s="37"/>
      <c r="X193" s="37"/>
    </row>
    <row r="194" spans="1:24" x14ac:dyDescent="0.25">
      <c r="A194" s="51"/>
      <c r="B194" s="51"/>
      <c r="C194" s="51"/>
      <c r="D194" s="134"/>
      <c r="Q194" s="29"/>
      <c r="R194" s="29"/>
      <c r="S194" s="29"/>
      <c r="T194" s="29"/>
      <c r="V194" s="37"/>
      <c r="W194" s="37"/>
      <c r="X194" s="37"/>
    </row>
    <row r="195" spans="1:24" x14ac:dyDescent="0.25">
      <c r="A195" s="51"/>
      <c r="B195" s="51"/>
      <c r="C195" s="51"/>
      <c r="D195" s="134"/>
      <c r="Q195" s="29"/>
      <c r="R195" s="29"/>
      <c r="S195" s="29"/>
      <c r="T195" s="29"/>
      <c r="V195" s="37"/>
      <c r="W195" s="37"/>
      <c r="X195" s="37"/>
    </row>
    <row r="196" spans="1:24" x14ac:dyDescent="0.25">
      <c r="Q196" s="29"/>
      <c r="R196" s="29"/>
      <c r="S196" s="29"/>
      <c r="T196" s="29"/>
      <c r="V196" s="37"/>
      <c r="W196" s="37"/>
      <c r="X196" s="37"/>
    </row>
    <row r="197" spans="1:24" x14ac:dyDescent="0.25">
      <c r="Q197" s="29"/>
      <c r="R197" s="29"/>
      <c r="S197" s="29"/>
      <c r="T197" s="29"/>
      <c r="V197" s="37"/>
      <c r="W197" s="37"/>
      <c r="X197" s="37"/>
    </row>
    <row r="198" spans="1:24" x14ac:dyDescent="0.25">
      <c r="Q198" s="29"/>
      <c r="R198" s="29"/>
      <c r="S198" s="29"/>
      <c r="T198" s="29"/>
      <c r="V198" s="37"/>
      <c r="W198" s="37"/>
      <c r="X198" s="37"/>
    </row>
    <row r="199" spans="1:24" x14ac:dyDescent="0.25">
      <c r="Q199" s="29"/>
      <c r="R199" s="29"/>
      <c r="S199" s="29"/>
      <c r="T199" s="29"/>
      <c r="V199" s="37"/>
      <c r="W199" s="37"/>
      <c r="X199" s="37"/>
    </row>
    <row r="200" spans="1:24" x14ac:dyDescent="0.25">
      <c r="Q200" s="29"/>
      <c r="R200" s="29"/>
      <c r="S200" s="29"/>
      <c r="T200" s="29"/>
      <c r="V200" s="37"/>
      <c r="W200" s="37"/>
      <c r="X200" s="37"/>
    </row>
    <row r="201" spans="1:24" x14ac:dyDescent="0.25">
      <c r="Q201" s="29"/>
      <c r="R201" s="29"/>
      <c r="S201" s="29"/>
      <c r="T201" s="29"/>
      <c r="V201" s="37"/>
      <c r="W201" s="37"/>
      <c r="X201" s="37"/>
    </row>
    <row r="202" spans="1:24" x14ac:dyDescent="0.25">
      <c r="Q202" s="29"/>
      <c r="R202" s="29"/>
      <c r="S202" s="29"/>
      <c r="T202" s="29"/>
      <c r="V202" s="37"/>
      <c r="W202" s="37"/>
      <c r="X202" s="37"/>
    </row>
    <row r="203" spans="1:24" x14ac:dyDescent="0.25">
      <c r="Q203" s="29"/>
      <c r="R203" s="29"/>
      <c r="S203" s="29"/>
      <c r="T203" s="29"/>
      <c r="V203" s="37"/>
      <c r="W203" s="37"/>
      <c r="X203" s="37"/>
    </row>
    <row r="204" spans="1:24" x14ac:dyDescent="0.25">
      <c r="Q204" s="29"/>
      <c r="R204" s="29"/>
      <c r="S204" s="29"/>
      <c r="T204" s="29"/>
      <c r="V204" s="37"/>
      <c r="W204" s="37"/>
      <c r="X204" s="37"/>
    </row>
    <row r="205" spans="1:24" x14ac:dyDescent="0.25">
      <c r="Q205" s="29"/>
      <c r="R205" s="29"/>
      <c r="S205" s="29"/>
      <c r="T205" s="29"/>
      <c r="V205" s="37"/>
      <c r="W205" s="37"/>
      <c r="X205" s="37"/>
    </row>
    <row r="206" spans="1:24" x14ac:dyDescent="0.25">
      <c r="Q206" s="29"/>
      <c r="R206" s="29"/>
      <c r="S206" s="29"/>
      <c r="T206" s="29"/>
      <c r="V206" s="37"/>
      <c r="W206" s="37"/>
      <c r="X206" s="37"/>
    </row>
    <row r="207" spans="1:24" x14ac:dyDescent="0.25">
      <c r="Q207" s="29"/>
      <c r="R207" s="29"/>
      <c r="S207" s="29"/>
      <c r="T207" s="29"/>
      <c r="V207" s="37"/>
      <c r="W207" s="37"/>
      <c r="X207" s="37"/>
    </row>
    <row r="208" spans="1:24" x14ac:dyDescent="0.25">
      <c r="Q208" s="29"/>
      <c r="R208" s="29"/>
      <c r="S208" s="29"/>
      <c r="T208" s="29"/>
      <c r="V208" s="37"/>
      <c r="W208" s="37"/>
      <c r="X208" s="37"/>
    </row>
    <row r="209" spans="17:24" x14ac:dyDescent="0.25">
      <c r="Q209" s="29"/>
      <c r="R209" s="29"/>
      <c r="S209" s="29"/>
      <c r="T209" s="29"/>
      <c r="V209" s="37"/>
      <c r="W209" s="37"/>
      <c r="X209" s="37"/>
    </row>
    <row r="210" spans="17:24" x14ac:dyDescent="0.25">
      <c r="Q210" s="29"/>
      <c r="R210" s="29"/>
      <c r="S210" s="29"/>
      <c r="T210" s="29"/>
      <c r="V210" s="37"/>
      <c r="W210" s="37"/>
      <c r="X210" s="37"/>
    </row>
    <row r="211" spans="17:24" x14ac:dyDescent="0.25">
      <c r="Q211" s="29"/>
      <c r="R211" s="29"/>
      <c r="S211" s="29"/>
      <c r="T211" s="29"/>
      <c r="V211" s="37"/>
      <c r="W211" s="37"/>
      <c r="X211" s="37"/>
    </row>
    <row r="212" spans="17:24" x14ac:dyDescent="0.25">
      <c r="Q212" s="29"/>
      <c r="R212" s="29"/>
      <c r="S212" s="29"/>
      <c r="T212" s="29"/>
      <c r="V212" s="37"/>
      <c r="W212" s="37"/>
      <c r="X212" s="37"/>
    </row>
    <row r="213" spans="17:24" x14ac:dyDescent="0.25">
      <c r="Q213" s="29"/>
      <c r="R213" s="29"/>
      <c r="S213" s="29"/>
      <c r="T213" s="29"/>
      <c r="V213" s="37"/>
      <c r="W213" s="37"/>
      <c r="X213" s="37"/>
    </row>
    <row r="214" spans="17:24" x14ac:dyDescent="0.25">
      <c r="Q214" s="29"/>
      <c r="R214" s="29"/>
      <c r="S214" s="29"/>
      <c r="T214" s="29"/>
      <c r="V214" s="37"/>
      <c r="W214" s="37"/>
      <c r="X214" s="37"/>
    </row>
    <row r="215" spans="17:24" x14ac:dyDescent="0.25">
      <c r="Q215" s="29"/>
      <c r="R215" s="29"/>
      <c r="S215" s="29"/>
      <c r="T215" s="29"/>
      <c r="V215" s="37"/>
      <c r="W215" s="37"/>
      <c r="X215" s="37"/>
    </row>
    <row r="216" spans="17:24" x14ac:dyDescent="0.25">
      <c r="Q216" s="29"/>
      <c r="R216" s="29"/>
      <c r="S216" s="29"/>
      <c r="T216" s="29"/>
      <c r="V216" s="37"/>
      <c r="W216" s="37"/>
      <c r="X216" s="37"/>
    </row>
    <row r="217" spans="17:24" x14ac:dyDescent="0.25">
      <c r="Q217" s="29"/>
      <c r="R217" s="29"/>
      <c r="S217" s="29"/>
      <c r="T217" s="29"/>
      <c r="V217" s="37"/>
      <c r="W217" s="37"/>
      <c r="X217" s="37"/>
    </row>
    <row r="218" spans="17:24" x14ac:dyDescent="0.25">
      <c r="Q218" s="29"/>
      <c r="R218" s="29"/>
      <c r="S218" s="29"/>
      <c r="T218" s="29"/>
      <c r="V218" s="37"/>
      <c r="W218" s="37"/>
      <c r="X218" s="37"/>
    </row>
    <row r="219" spans="17:24" x14ac:dyDescent="0.25">
      <c r="Q219" s="29"/>
      <c r="R219" s="29"/>
      <c r="S219" s="29"/>
      <c r="T219" s="29"/>
      <c r="V219" s="37"/>
      <c r="W219" s="37"/>
      <c r="X219" s="37"/>
    </row>
    <row r="220" spans="17:24" x14ac:dyDescent="0.25">
      <c r="Q220" s="29"/>
      <c r="R220" s="29"/>
      <c r="S220" s="29"/>
      <c r="T220" s="29"/>
      <c r="V220" s="37"/>
      <c r="W220" s="37"/>
      <c r="X220" s="37"/>
    </row>
    <row r="221" spans="17:24" x14ac:dyDescent="0.25">
      <c r="Q221" s="29"/>
      <c r="R221" s="29"/>
      <c r="S221" s="29"/>
      <c r="T221" s="29"/>
      <c r="V221" s="37"/>
      <c r="W221" s="37"/>
      <c r="X221" s="37"/>
    </row>
    <row r="222" spans="17:24" x14ac:dyDescent="0.25">
      <c r="Q222" s="29"/>
      <c r="R222" s="29"/>
      <c r="S222" s="29"/>
      <c r="T222" s="29"/>
      <c r="V222" s="37"/>
      <c r="W222" s="37"/>
      <c r="X222" s="37"/>
    </row>
    <row r="223" spans="17:24" x14ac:dyDescent="0.25">
      <c r="Q223" s="29"/>
      <c r="R223" s="29"/>
      <c r="S223" s="29"/>
      <c r="T223" s="29"/>
      <c r="V223" s="37"/>
      <c r="W223" s="37"/>
      <c r="X223" s="37"/>
    </row>
    <row r="224" spans="17:24" x14ac:dyDescent="0.25">
      <c r="Q224" s="29"/>
      <c r="R224" s="29"/>
      <c r="S224" s="29"/>
      <c r="T224" s="29"/>
      <c r="V224" s="37"/>
      <c r="W224" s="37"/>
      <c r="X224" s="37"/>
    </row>
    <row r="225" spans="17:24" x14ac:dyDescent="0.25">
      <c r="Q225" s="29"/>
      <c r="R225" s="29"/>
      <c r="S225" s="29"/>
      <c r="T225" s="29"/>
      <c r="V225" s="37"/>
      <c r="W225" s="37"/>
      <c r="X225" s="37"/>
    </row>
    <row r="226" spans="17:24" x14ac:dyDescent="0.25">
      <c r="Q226" s="29"/>
      <c r="R226" s="29"/>
      <c r="S226" s="29"/>
      <c r="T226" s="29"/>
      <c r="V226" s="37"/>
      <c r="W226" s="37"/>
      <c r="X226" s="37"/>
    </row>
    <row r="227" spans="17:24" x14ac:dyDescent="0.25">
      <c r="Q227" s="29"/>
      <c r="R227" s="29"/>
      <c r="S227" s="29"/>
      <c r="T227" s="29"/>
      <c r="V227" s="37"/>
      <c r="W227" s="37"/>
      <c r="X227" s="37"/>
    </row>
    <row r="228" spans="17:24" x14ac:dyDescent="0.25">
      <c r="Q228" s="29"/>
      <c r="R228" s="29"/>
      <c r="S228" s="29"/>
      <c r="T228" s="29"/>
      <c r="V228" s="37"/>
      <c r="W228" s="37"/>
      <c r="X228" s="37"/>
    </row>
    <row r="229" spans="17:24" x14ac:dyDescent="0.25">
      <c r="Q229" s="29"/>
      <c r="R229" s="29"/>
      <c r="S229" s="29"/>
      <c r="T229" s="29"/>
      <c r="V229" s="37"/>
      <c r="W229" s="37"/>
      <c r="X229" s="37"/>
    </row>
    <row r="230" spans="17:24" x14ac:dyDescent="0.25">
      <c r="Q230" s="29"/>
      <c r="R230" s="29"/>
      <c r="S230" s="29"/>
      <c r="T230" s="29"/>
      <c r="V230" s="37"/>
      <c r="W230" s="37"/>
      <c r="X230" s="37"/>
    </row>
    <row r="231" spans="17:24" x14ac:dyDescent="0.25">
      <c r="Q231" s="29"/>
      <c r="R231" s="29"/>
      <c r="S231" s="29"/>
      <c r="T231" s="29"/>
      <c r="V231" s="37"/>
      <c r="W231" s="37"/>
      <c r="X231" s="37"/>
    </row>
    <row r="232" spans="17:24" x14ac:dyDescent="0.25">
      <c r="Q232" s="29"/>
      <c r="R232" s="29"/>
      <c r="S232" s="29"/>
      <c r="T232" s="29"/>
      <c r="V232" s="37"/>
      <c r="W232" s="37"/>
      <c r="X232" s="37"/>
    </row>
    <row r="233" spans="17:24" x14ac:dyDescent="0.25">
      <c r="Q233" s="29"/>
      <c r="R233" s="29"/>
      <c r="S233" s="29"/>
      <c r="T233" s="29"/>
      <c r="V233" s="37"/>
      <c r="W233" s="37"/>
      <c r="X233" s="37"/>
    </row>
    <row r="234" spans="17:24" x14ac:dyDescent="0.25">
      <c r="Q234" s="29"/>
      <c r="R234" s="29"/>
      <c r="S234" s="29"/>
      <c r="T234" s="29"/>
      <c r="V234" s="37"/>
      <c r="W234" s="37"/>
      <c r="X234" s="37"/>
    </row>
    <row r="235" spans="17:24" x14ac:dyDescent="0.25">
      <c r="Q235" s="29"/>
      <c r="R235" s="29"/>
      <c r="S235" s="29"/>
      <c r="T235" s="29"/>
      <c r="V235" s="37"/>
      <c r="W235" s="37"/>
      <c r="X235" s="37"/>
    </row>
    <row r="236" spans="17:24" x14ac:dyDescent="0.25">
      <c r="Q236" s="29"/>
      <c r="R236" s="29"/>
      <c r="S236" s="29"/>
      <c r="T236" s="29"/>
      <c r="V236" s="37"/>
      <c r="W236" s="37"/>
      <c r="X236" s="37"/>
    </row>
    <row r="237" spans="17:24" x14ac:dyDescent="0.25">
      <c r="Q237" s="29"/>
      <c r="R237" s="29"/>
      <c r="S237" s="29"/>
      <c r="T237" s="29"/>
      <c r="V237" s="37"/>
      <c r="W237" s="37"/>
      <c r="X237" s="37"/>
    </row>
    <row r="238" spans="17:24" x14ac:dyDescent="0.25">
      <c r="Q238" s="29"/>
      <c r="R238" s="29"/>
      <c r="S238" s="29"/>
      <c r="T238" s="29"/>
      <c r="V238" s="37"/>
      <c r="W238" s="37"/>
      <c r="X238" s="37"/>
    </row>
    <row r="239" spans="17:24" x14ac:dyDescent="0.25">
      <c r="Q239" s="29"/>
      <c r="R239" s="29"/>
      <c r="S239" s="29"/>
      <c r="T239" s="29"/>
      <c r="V239" s="37"/>
      <c r="W239" s="37"/>
      <c r="X239" s="37"/>
    </row>
    <row r="240" spans="17:24" x14ac:dyDescent="0.25">
      <c r="Q240" s="29"/>
      <c r="R240" s="29"/>
      <c r="S240" s="29"/>
      <c r="T240" s="29"/>
      <c r="V240" s="37"/>
      <c r="W240" s="37"/>
      <c r="X240" s="37"/>
    </row>
    <row r="241" spans="17:24" x14ac:dyDescent="0.25">
      <c r="Q241" s="29"/>
      <c r="R241" s="29"/>
      <c r="S241" s="29"/>
      <c r="T241" s="29"/>
      <c r="V241" s="37"/>
      <c r="W241" s="37"/>
      <c r="X241" s="37"/>
    </row>
    <row r="242" spans="17:24" x14ac:dyDescent="0.25">
      <c r="Q242" s="29"/>
      <c r="R242" s="29"/>
      <c r="S242" s="29"/>
      <c r="T242" s="29"/>
      <c r="V242" s="37"/>
      <c r="W242" s="37"/>
      <c r="X242" s="37"/>
    </row>
    <row r="243" spans="17:24" x14ac:dyDescent="0.25">
      <c r="Q243" s="29"/>
      <c r="R243" s="29"/>
      <c r="S243" s="29"/>
      <c r="T243" s="29"/>
      <c r="V243" s="37"/>
      <c r="W243" s="37"/>
      <c r="X243" s="37"/>
    </row>
    <row r="244" spans="17:24" x14ac:dyDescent="0.25">
      <c r="Q244" s="29"/>
      <c r="R244" s="29"/>
      <c r="S244" s="29"/>
      <c r="T244" s="29"/>
      <c r="V244" s="37"/>
      <c r="W244" s="37"/>
      <c r="X244" s="37"/>
    </row>
    <row r="245" spans="17:24" x14ac:dyDescent="0.25">
      <c r="Q245" s="29"/>
      <c r="R245" s="29"/>
      <c r="S245" s="29"/>
      <c r="T245" s="29"/>
      <c r="V245" s="37"/>
      <c r="W245" s="37"/>
      <c r="X245" s="37"/>
    </row>
    <row r="246" spans="17:24" x14ac:dyDescent="0.25">
      <c r="Q246" s="29"/>
      <c r="R246" s="29"/>
      <c r="S246" s="29"/>
      <c r="T246" s="29"/>
      <c r="V246" s="37"/>
      <c r="W246" s="37"/>
      <c r="X246" s="37"/>
    </row>
    <row r="247" spans="17:24" x14ac:dyDescent="0.25">
      <c r="Q247" s="29"/>
      <c r="R247" s="29"/>
      <c r="S247" s="29"/>
      <c r="T247" s="29"/>
      <c r="V247" s="37"/>
      <c r="W247" s="37"/>
      <c r="X247" s="37"/>
    </row>
    <row r="248" spans="17:24" x14ac:dyDescent="0.25">
      <c r="Q248" s="29"/>
      <c r="R248" s="29"/>
      <c r="S248" s="29"/>
      <c r="T248" s="29"/>
      <c r="V248" s="37"/>
      <c r="W248" s="37"/>
      <c r="X248" s="37"/>
    </row>
    <row r="249" spans="17:24" x14ac:dyDescent="0.25">
      <c r="Q249" s="29"/>
      <c r="R249" s="29"/>
      <c r="S249" s="29"/>
      <c r="T249" s="29"/>
      <c r="V249" s="37"/>
      <c r="W249" s="37"/>
      <c r="X249" s="37"/>
    </row>
    <row r="250" spans="17:24" x14ac:dyDescent="0.25">
      <c r="Q250" s="29"/>
      <c r="R250" s="29"/>
      <c r="S250" s="29"/>
      <c r="T250" s="29"/>
      <c r="V250" s="37"/>
      <c r="W250" s="37"/>
      <c r="X250" s="37"/>
    </row>
    <row r="251" spans="17:24" x14ac:dyDescent="0.25">
      <c r="Q251" s="29"/>
      <c r="R251" s="29"/>
      <c r="S251" s="29"/>
      <c r="T251" s="29"/>
      <c r="V251" s="37"/>
      <c r="W251" s="37"/>
      <c r="X251" s="37"/>
    </row>
    <row r="252" spans="17:24" x14ac:dyDescent="0.25">
      <c r="Q252" s="29"/>
      <c r="R252" s="29"/>
      <c r="S252" s="29"/>
      <c r="T252" s="29"/>
      <c r="V252" s="37"/>
      <c r="W252" s="37"/>
      <c r="X252" s="37"/>
    </row>
    <row r="253" spans="17:24" x14ac:dyDescent="0.25">
      <c r="Q253" s="29"/>
      <c r="R253" s="29"/>
      <c r="S253" s="29"/>
      <c r="T253" s="29"/>
      <c r="V253" s="37"/>
      <c r="W253" s="37"/>
      <c r="X253" s="37"/>
    </row>
    <row r="254" spans="17:24" x14ac:dyDescent="0.25">
      <c r="Q254" s="29"/>
      <c r="R254" s="29"/>
      <c r="S254" s="29"/>
      <c r="T254" s="29"/>
      <c r="V254" s="37"/>
      <c r="W254" s="37"/>
      <c r="X254" s="37"/>
    </row>
    <row r="255" spans="17:24" x14ac:dyDescent="0.25">
      <c r="Q255" s="29"/>
      <c r="R255" s="29"/>
      <c r="S255" s="29"/>
      <c r="T255" s="29"/>
      <c r="V255" s="37"/>
      <c r="W255" s="37"/>
      <c r="X255" s="37"/>
    </row>
    <row r="256" spans="17:24" x14ac:dyDescent="0.25">
      <c r="Q256" s="29"/>
      <c r="R256" s="29"/>
      <c r="S256" s="29"/>
      <c r="T256" s="29"/>
      <c r="V256" s="37"/>
      <c r="W256" s="37"/>
      <c r="X256" s="37"/>
    </row>
    <row r="257" spans="17:24" x14ac:dyDescent="0.25">
      <c r="Q257" s="29"/>
      <c r="R257" s="29"/>
      <c r="S257" s="29"/>
      <c r="T257" s="29"/>
      <c r="V257" s="37"/>
      <c r="W257" s="37"/>
      <c r="X257" s="37"/>
    </row>
    <row r="258" spans="17:24" x14ac:dyDescent="0.25">
      <c r="Q258" s="29"/>
      <c r="R258" s="29"/>
      <c r="S258" s="29"/>
      <c r="T258" s="29"/>
      <c r="V258" s="37"/>
      <c r="W258" s="37"/>
      <c r="X258" s="37"/>
    </row>
    <row r="259" spans="17:24" x14ac:dyDescent="0.25">
      <c r="Q259" s="29"/>
      <c r="R259" s="29"/>
      <c r="S259" s="29"/>
      <c r="T259" s="29"/>
      <c r="V259" s="37"/>
      <c r="W259" s="37"/>
      <c r="X259" s="37"/>
    </row>
    <row r="260" spans="17:24" x14ac:dyDescent="0.25">
      <c r="Q260" s="29"/>
      <c r="R260" s="29"/>
      <c r="S260" s="29"/>
      <c r="T260" s="29"/>
      <c r="V260" s="37"/>
      <c r="W260" s="37"/>
      <c r="X260" s="37"/>
    </row>
    <row r="261" spans="17:24" x14ac:dyDescent="0.25">
      <c r="Q261" s="29"/>
      <c r="R261" s="29"/>
      <c r="S261" s="29"/>
      <c r="T261" s="29"/>
      <c r="V261" s="37"/>
      <c r="W261" s="37"/>
      <c r="X261" s="37"/>
    </row>
    <row r="262" spans="17:24" x14ac:dyDescent="0.25">
      <c r="Q262" s="29"/>
      <c r="R262" s="29"/>
      <c r="S262" s="29"/>
      <c r="T262" s="29"/>
      <c r="V262" s="37"/>
      <c r="W262" s="37"/>
      <c r="X262" s="37"/>
    </row>
    <row r="263" spans="17:24" x14ac:dyDescent="0.25">
      <c r="Q263" s="29"/>
      <c r="R263" s="29"/>
      <c r="S263" s="29"/>
      <c r="T263" s="29"/>
      <c r="V263" s="37"/>
      <c r="W263" s="37"/>
      <c r="X263" s="37"/>
    </row>
    <row r="264" spans="17:24" x14ac:dyDescent="0.25">
      <c r="Q264" s="29"/>
      <c r="R264" s="29"/>
      <c r="S264" s="29"/>
      <c r="T264" s="29"/>
      <c r="V264" s="37"/>
      <c r="W264" s="37"/>
      <c r="X264" s="37"/>
    </row>
    <row r="265" spans="17:24" x14ac:dyDescent="0.25">
      <c r="Q265" s="29"/>
      <c r="R265" s="29"/>
      <c r="S265" s="29"/>
      <c r="T265" s="29"/>
      <c r="V265" s="37"/>
      <c r="W265" s="37"/>
      <c r="X265" s="37"/>
    </row>
    <row r="266" spans="17:24" x14ac:dyDescent="0.25">
      <c r="Q266" s="29"/>
      <c r="R266" s="29"/>
      <c r="S266" s="29"/>
      <c r="T266" s="29"/>
      <c r="V266" s="37"/>
      <c r="W266" s="37"/>
      <c r="X266" s="37"/>
    </row>
    <row r="267" spans="17:24" x14ac:dyDescent="0.25">
      <c r="Q267" s="29"/>
      <c r="R267" s="29"/>
      <c r="S267" s="29"/>
      <c r="T267" s="29"/>
      <c r="V267" s="37"/>
      <c r="W267" s="37"/>
      <c r="X267" s="37"/>
    </row>
    <row r="268" spans="17:24" x14ac:dyDescent="0.25">
      <c r="Q268" s="29"/>
      <c r="R268" s="29"/>
      <c r="S268" s="29"/>
      <c r="T268" s="29"/>
      <c r="V268" s="37"/>
      <c r="W268" s="37"/>
      <c r="X268" s="37"/>
    </row>
    <row r="269" spans="17:24" x14ac:dyDescent="0.25">
      <c r="Q269" s="29"/>
      <c r="R269" s="29"/>
      <c r="S269" s="29"/>
      <c r="T269" s="29"/>
      <c r="V269" s="37"/>
      <c r="W269" s="37"/>
      <c r="X269" s="37"/>
    </row>
    <row r="270" spans="17:24" x14ac:dyDescent="0.25">
      <c r="Q270" s="29"/>
      <c r="R270" s="29"/>
      <c r="S270" s="29"/>
      <c r="T270" s="29"/>
      <c r="V270" s="37"/>
      <c r="W270" s="37"/>
      <c r="X270" s="37"/>
    </row>
    <row r="271" spans="17:24" x14ac:dyDescent="0.25">
      <c r="Q271" s="29"/>
      <c r="R271" s="29"/>
      <c r="S271" s="29"/>
      <c r="T271" s="29"/>
      <c r="V271" s="37"/>
      <c r="W271" s="37"/>
      <c r="X271" s="37"/>
    </row>
    <row r="272" spans="17:24" x14ac:dyDescent="0.25">
      <c r="Q272" s="29"/>
      <c r="R272" s="29"/>
      <c r="S272" s="29"/>
      <c r="T272" s="29"/>
      <c r="V272" s="37"/>
      <c r="W272" s="37"/>
      <c r="X272" s="37"/>
    </row>
    <row r="273" spans="17:24" x14ac:dyDescent="0.25">
      <c r="Q273" s="29"/>
      <c r="R273" s="29"/>
      <c r="S273" s="29"/>
      <c r="T273" s="29"/>
      <c r="V273" s="37"/>
      <c r="W273" s="37"/>
      <c r="X273" s="37"/>
    </row>
    <row r="274" spans="17:24" x14ac:dyDescent="0.25">
      <c r="Q274" s="29"/>
      <c r="R274" s="29"/>
      <c r="S274" s="29"/>
      <c r="T274" s="29"/>
      <c r="V274" s="37"/>
      <c r="W274" s="37"/>
      <c r="X274" s="37"/>
    </row>
    <row r="275" spans="17:24" x14ac:dyDescent="0.25">
      <c r="Q275" s="29"/>
      <c r="R275" s="29"/>
      <c r="S275" s="29"/>
      <c r="T275" s="29"/>
      <c r="V275" s="37"/>
      <c r="W275" s="37"/>
      <c r="X275" s="37"/>
    </row>
    <row r="276" spans="17:24" x14ac:dyDescent="0.25">
      <c r="Q276" s="29"/>
      <c r="R276" s="29"/>
      <c r="S276" s="29"/>
      <c r="T276" s="29"/>
      <c r="V276" s="37"/>
      <c r="W276" s="37"/>
      <c r="X276" s="37"/>
    </row>
    <row r="277" spans="17:24" x14ac:dyDescent="0.25">
      <c r="Q277" s="29"/>
      <c r="R277" s="29"/>
      <c r="S277" s="29"/>
      <c r="T277" s="29"/>
      <c r="V277" s="37"/>
      <c r="W277" s="37"/>
      <c r="X277" s="37"/>
    </row>
    <row r="278" spans="17:24" x14ac:dyDescent="0.25">
      <c r="Q278" s="29"/>
      <c r="R278" s="29"/>
      <c r="S278" s="29"/>
      <c r="T278" s="29"/>
      <c r="V278" s="37"/>
      <c r="W278" s="37"/>
      <c r="X278" s="37"/>
    </row>
    <row r="279" spans="17:24" x14ac:dyDescent="0.25">
      <c r="Q279" s="29"/>
      <c r="R279" s="29"/>
      <c r="S279" s="29"/>
      <c r="T279" s="29"/>
      <c r="V279" s="37"/>
      <c r="W279" s="37"/>
      <c r="X279" s="37"/>
    </row>
    <row r="280" spans="17:24" x14ac:dyDescent="0.25">
      <c r="Q280" s="29"/>
      <c r="R280" s="29"/>
      <c r="S280" s="29"/>
      <c r="T280" s="29"/>
      <c r="V280" s="37"/>
      <c r="W280" s="37"/>
      <c r="X280" s="37"/>
    </row>
    <row r="281" spans="17:24" x14ac:dyDescent="0.25">
      <c r="Q281" s="29"/>
      <c r="R281" s="29"/>
      <c r="S281" s="29"/>
      <c r="T281" s="29"/>
      <c r="V281" s="37"/>
      <c r="W281" s="37"/>
      <c r="X281" s="37"/>
    </row>
    <row r="282" spans="17:24" x14ac:dyDescent="0.25">
      <c r="Q282" s="29"/>
      <c r="R282" s="29"/>
      <c r="S282" s="29"/>
      <c r="T282" s="29"/>
      <c r="V282" s="37"/>
      <c r="W282" s="37"/>
      <c r="X282" s="37"/>
    </row>
    <row r="283" spans="17:24" x14ac:dyDescent="0.25">
      <c r="Q283" s="29"/>
      <c r="R283" s="29"/>
      <c r="S283" s="29"/>
      <c r="T283" s="29"/>
      <c r="V283" s="37"/>
      <c r="W283" s="37"/>
      <c r="X283" s="37"/>
    </row>
    <row r="284" spans="17:24" x14ac:dyDescent="0.25">
      <c r="Q284" s="29"/>
      <c r="R284" s="29"/>
      <c r="S284" s="29"/>
      <c r="T284" s="29"/>
      <c r="V284" s="37"/>
      <c r="W284" s="37"/>
      <c r="X284" s="37"/>
    </row>
    <row r="285" spans="17:24" x14ac:dyDescent="0.25">
      <c r="Q285" s="29"/>
      <c r="R285" s="29"/>
      <c r="S285" s="29"/>
      <c r="T285" s="29"/>
      <c r="V285" s="37"/>
      <c r="W285" s="37"/>
      <c r="X285" s="37"/>
    </row>
    <row r="286" spans="17:24" x14ac:dyDescent="0.25">
      <c r="Q286" s="29"/>
      <c r="R286" s="29"/>
      <c r="S286" s="29"/>
      <c r="T286" s="29"/>
      <c r="V286" s="37"/>
      <c r="W286" s="37"/>
      <c r="X286" s="37"/>
    </row>
    <row r="287" spans="17:24" x14ac:dyDescent="0.25">
      <c r="Q287" s="29"/>
      <c r="R287" s="29"/>
      <c r="S287" s="29"/>
      <c r="T287" s="29"/>
      <c r="V287" s="37"/>
      <c r="W287" s="37"/>
      <c r="X287" s="37"/>
    </row>
    <row r="288" spans="17:24" x14ac:dyDescent="0.25">
      <c r="Q288" s="29"/>
      <c r="R288" s="29"/>
      <c r="S288" s="29"/>
      <c r="T288" s="29"/>
      <c r="V288" s="37"/>
      <c r="W288" s="37"/>
      <c r="X288" s="37"/>
    </row>
    <row r="289" spans="17:24" x14ac:dyDescent="0.25">
      <c r="Q289" s="29"/>
      <c r="R289" s="29"/>
      <c r="S289" s="29"/>
      <c r="T289" s="29"/>
      <c r="V289" s="37"/>
      <c r="W289" s="37"/>
      <c r="X289" s="37"/>
    </row>
    <row r="290" spans="17:24" x14ac:dyDescent="0.25">
      <c r="Q290" s="29"/>
      <c r="R290" s="29"/>
      <c r="S290" s="29"/>
      <c r="T290" s="29"/>
      <c r="V290" s="37"/>
      <c r="W290" s="37"/>
      <c r="X290" s="37"/>
    </row>
    <row r="291" spans="17:24" x14ac:dyDescent="0.25">
      <c r="Q291" s="29"/>
      <c r="R291" s="29"/>
      <c r="S291" s="29"/>
      <c r="T291" s="29"/>
      <c r="V291" s="37"/>
      <c r="W291" s="37"/>
      <c r="X291" s="37"/>
    </row>
    <row r="292" spans="17:24" x14ac:dyDescent="0.25">
      <c r="Q292" s="29"/>
      <c r="R292" s="29"/>
      <c r="S292" s="29"/>
      <c r="T292" s="29"/>
      <c r="V292" s="37"/>
      <c r="W292" s="37"/>
      <c r="X292" s="37"/>
    </row>
    <row r="293" spans="17:24" x14ac:dyDescent="0.25">
      <c r="Q293" s="29"/>
      <c r="R293" s="29"/>
      <c r="S293" s="29"/>
      <c r="T293" s="29"/>
      <c r="V293" s="37"/>
      <c r="W293" s="37"/>
      <c r="X293" s="37"/>
    </row>
    <row r="294" spans="17:24" x14ac:dyDescent="0.25">
      <c r="Q294" s="29"/>
      <c r="R294" s="29"/>
      <c r="S294" s="29"/>
      <c r="T294" s="29"/>
      <c r="V294" s="37"/>
      <c r="W294" s="37"/>
      <c r="X294" s="37"/>
    </row>
    <row r="295" spans="17:24" x14ac:dyDescent="0.25">
      <c r="Q295" s="29"/>
      <c r="R295" s="29"/>
      <c r="S295" s="29"/>
      <c r="T295" s="29"/>
      <c r="V295" s="37"/>
      <c r="W295" s="37"/>
      <c r="X295" s="37"/>
    </row>
    <row r="296" spans="17:24" x14ac:dyDescent="0.25">
      <c r="Q296" s="29"/>
      <c r="R296" s="29"/>
      <c r="S296" s="29"/>
      <c r="T296" s="29"/>
      <c r="V296" s="37"/>
      <c r="W296" s="37"/>
      <c r="X296" s="37"/>
    </row>
    <row r="297" spans="17:24" x14ac:dyDescent="0.25">
      <c r="Q297" s="29"/>
      <c r="R297" s="29"/>
      <c r="S297" s="29"/>
      <c r="T297" s="29"/>
      <c r="V297" s="37"/>
      <c r="W297" s="37"/>
      <c r="X297" s="37"/>
    </row>
    <row r="298" spans="17:24" x14ac:dyDescent="0.25">
      <c r="Q298" s="29"/>
      <c r="R298" s="29"/>
      <c r="S298" s="29"/>
      <c r="T298" s="29"/>
      <c r="V298" s="37"/>
      <c r="W298" s="37"/>
      <c r="X298" s="37"/>
    </row>
    <row r="299" spans="17:24" x14ac:dyDescent="0.25">
      <c r="Q299" s="29"/>
      <c r="R299" s="29"/>
      <c r="S299" s="29"/>
      <c r="T299" s="29"/>
      <c r="V299" s="37"/>
      <c r="W299" s="37"/>
      <c r="X299" s="37"/>
    </row>
    <row r="300" spans="17:24" x14ac:dyDescent="0.25">
      <c r="Q300" s="29"/>
      <c r="R300" s="29"/>
      <c r="S300" s="29"/>
      <c r="T300" s="29"/>
      <c r="V300" s="37"/>
      <c r="W300" s="37"/>
      <c r="X300" s="37"/>
    </row>
    <row r="301" spans="17:24" x14ac:dyDescent="0.25">
      <c r="Q301" s="29"/>
      <c r="R301" s="29"/>
      <c r="S301" s="29"/>
      <c r="T301" s="29"/>
      <c r="V301" s="37"/>
      <c r="W301" s="37"/>
      <c r="X301" s="37"/>
    </row>
    <row r="302" spans="17:24" x14ac:dyDescent="0.25">
      <c r="Q302" s="29"/>
      <c r="R302" s="29"/>
      <c r="S302" s="29"/>
      <c r="T302" s="29"/>
      <c r="V302" s="37"/>
      <c r="W302" s="37"/>
      <c r="X302" s="37"/>
    </row>
    <row r="303" spans="17:24" x14ac:dyDescent="0.25">
      <c r="Q303" s="29"/>
      <c r="R303" s="29"/>
      <c r="S303" s="29"/>
      <c r="T303" s="29"/>
      <c r="V303" s="37"/>
      <c r="W303" s="37"/>
      <c r="X303" s="37"/>
    </row>
    <row r="304" spans="17:24" x14ac:dyDescent="0.25">
      <c r="Q304" s="29"/>
      <c r="R304" s="29"/>
      <c r="S304" s="29"/>
      <c r="T304" s="29"/>
      <c r="V304" s="37"/>
      <c r="W304" s="37"/>
      <c r="X304" s="37"/>
    </row>
    <row r="305" spans="17:24" x14ac:dyDescent="0.25">
      <c r="Q305" s="29"/>
      <c r="R305" s="29"/>
      <c r="S305" s="29"/>
      <c r="T305" s="29"/>
      <c r="V305" s="37"/>
      <c r="W305" s="37"/>
      <c r="X305" s="37"/>
    </row>
    <row r="306" spans="17:24" x14ac:dyDescent="0.25">
      <c r="Q306" s="29"/>
      <c r="R306" s="29"/>
      <c r="S306" s="29"/>
      <c r="T306" s="29"/>
      <c r="V306" s="37"/>
      <c r="W306" s="37"/>
      <c r="X306" s="37"/>
    </row>
    <row r="307" spans="17:24" x14ac:dyDescent="0.25">
      <c r="Q307" s="29"/>
      <c r="R307" s="29"/>
      <c r="S307" s="29"/>
      <c r="T307" s="29"/>
      <c r="V307" s="37"/>
      <c r="W307" s="37"/>
      <c r="X307" s="37"/>
    </row>
    <row r="308" spans="17:24" x14ac:dyDescent="0.25">
      <c r="Q308" s="29"/>
      <c r="R308" s="29"/>
      <c r="S308" s="29"/>
      <c r="T308" s="29"/>
      <c r="V308" s="37"/>
      <c r="W308" s="37"/>
      <c r="X308" s="37"/>
    </row>
    <row r="309" spans="17:24" x14ac:dyDescent="0.25">
      <c r="Q309" s="29"/>
      <c r="R309" s="29"/>
      <c r="S309" s="29"/>
      <c r="T309" s="29"/>
      <c r="V309" s="37"/>
      <c r="W309" s="37"/>
      <c r="X309" s="37"/>
    </row>
    <row r="310" spans="17:24" x14ac:dyDescent="0.25">
      <c r="Q310" s="29"/>
      <c r="R310" s="29"/>
      <c r="S310" s="29"/>
      <c r="T310" s="29"/>
      <c r="V310" s="37"/>
      <c r="W310" s="37"/>
      <c r="X310" s="37"/>
    </row>
    <row r="311" spans="17:24" x14ac:dyDescent="0.25">
      <c r="Q311" s="29"/>
      <c r="R311" s="29"/>
      <c r="S311" s="29"/>
      <c r="T311" s="29"/>
      <c r="V311" s="37"/>
      <c r="W311" s="37"/>
      <c r="X311" s="37"/>
    </row>
    <row r="312" spans="17:24" x14ac:dyDescent="0.25">
      <c r="Q312" s="29"/>
      <c r="R312" s="29"/>
      <c r="S312" s="29"/>
      <c r="T312" s="29"/>
      <c r="V312" s="37"/>
      <c r="W312" s="37"/>
      <c r="X312" s="37"/>
    </row>
    <row r="313" spans="17:24" x14ac:dyDescent="0.25">
      <c r="Q313" s="29"/>
      <c r="R313" s="29"/>
      <c r="S313" s="29"/>
      <c r="T313" s="29"/>
      <c r="V313" s="37"/>
      <c r="W313" s="37"/>
      <c r="X313" s="37"/>
    </row>
    <row r="314" spans="17:24" x14ac:dyDescent="0.25">
      <c r="Q314" s="29"/>
      <c r="R314" s="29"/>
      <c r="S314" s="29"/>
      <c r="T314" s="29"/>
      <c r="V314" s="37"/>
      <c r="W314" s="37"/>
      <c r="X314" s="37"/>
    </row>
    <row r="315" spans="17:24" x14ac:dyDescent="0.25">
      <c r="Q315" s="29"/>
      <c r="R315" s="29"/>
      <c r="S315" s="29"/>
      <c r="T315" s="29"/>
      <c r="V315" s="37"/>
      <c r="W315" s="37"/>
      <c r="X315" s="37"/>
    </row>
    <row r="316" spans="17:24" x14ac:dyDescent="0.25">
      <c r="Q316" s="29"/>
      <c r="R316" s="29"/>
      <c r="S316" s="29"/>
      <c r="T316" s="29"/>
      <c r="V316" s="37"/>
      <c r="W316" s="37"/>
      <c r="X316" s="37"/>
    </row>
    <row r="317" spans="17:24" x14ac:dyDescent="0.25">
      <c r="Q317" s="29"/>
      <c r="R317" s="29"/>
      <c r="S317" s="29"/>
      <c r="T317" s="29"/>
      <c r="V317" s="37"/>
      <c r="W317" s="37"/>
      <c r="X317" s="37"/>
    </row>
    <row r="318" spans="17:24" x14ac:dyDescent="0.25">
      <c r="Q318" s="29"/>
      <c r="R318" s="29"/>
      <c r="S318" s="29"/>
      <c r="T318" s="29"/>
      <c r="V318" s="37"/>
      <c r="W318" s="37"/>
      <c r="X318" s="37"/>
    </row>
    <row r="319" spans="17:24" x14ac:dyDescent="0.25">
      <c r="Q319" s="29"/>
      <c r="R319" s="29"/>
      <c r="S319" s="29"/>
      <c r="T319" s="29"/>
      <c r="V319" s="37"/>
      <c r="W319" s="37"/>
      <c r="X319" s="37"/>
    </row>
    <row r="320" spans="17:24" x14ac:dyDescent="0.25">
      <c r="Q320" s="29"/>
      <c r="R320" s="29"/>
      <c r="S320" s="29"/>
      <c r="T320" s="29"/>
      <c r="V320" s="37"/>
      <c r="W320" s="37"/>
      <c r="X320" s="37"/>
    </row>
    <row r="321" spans="17:24" x14ac:dyDescent="0.25">
      <c r="Q321" s="29"/>
      <c r="R321" s="29"/>
      <c r="S321" s="29"/>
      <c r="T321" s="29"/>
      <c r="V321" s="37"/>
      <c r="W321" s="37"/>
      <c r="X321" s="37"/>
    </row>
    <row r="322" spans="17:24" x14ac:dyDescent="0.25">
      <c r="Q322" s="29"/>
      <c r="R322" s="29"/>
      <c r="S322" s="29"/>
      <c r="T322" s="29"/>
      <c r="V322" s="37"/>
      <c r="W322" s="37"/>
      <c r="X322" s="37"/>
    </row>
    <row r="323" spans="17:24" x14ac:dyDescent="0.25">
      <c r="Q323" s="29"/>
      <c r="R323" s="29"/>
      <c r="S323" s="29"/>
      <c r="T323" s="29"/>
      <c r="V323" s="37"/>
      <c r="W323" s="37"/>
      <c r="X323" s="37"/>
    </row>
    <row r="324" spans="17:24" x14ac:dyDescent="0.25">
      <c r="Q324" s="29"/>
      <c r="R324" s="29"/>
      <c r="S324" s="29"/>
      <c r="T324" s="29"/>
      <c r="V324" s="37"/>
      <c r="W324" s="37"/>
      <c r="X324" s="37"/>
    </row>
    <row r="325" spans="17:24" x14ac:dyDescent="0.25">
      <c r="Q325" s="29"/>
      <c r="R325" s="29"/>
      <c r="S325" s="29"/>
      <c r="T325" s="29"/>
      <c r="V325" s="37"/>
      <c r="W325" s="37"/>
      <c r="X325" s="37"/>
    </row>
    <row r="326" spans="17:24" x14ac:dyDescent="0.25">
      <c r="Q326" s="29"/>
      <c r="R326" s="29"/>
      <c r="S326" s="29"/>
      <c r="T326" s="29"/>
      <c r="V326" s="37"/>
      <c r="W326" s="37"/>
      <c r="X326" s="37"/>
    </row>
    <row r="327" spans="17:24" x14ac:dyDescent="0.25">
      <c r="Q327" s="29"/>
      <c r="R327" s="29"/>
      <c r="S327" s="29"/>
      <c r="T327" s="29"/>
      <c r="V327" s="37"/>
      <c r="W327" s="37"/>
      <c r="X327" s="37"/>
    </row>
    <row r="328" spans="17:24" x14ac:dyDescent="0.25">
      <c r="Q328" s="29"/>
      <c r="R328" s="29"/>
      <c r="S328" s="29"/>
      <c r="T328" s="29"/>
      <c r="V328" s="37"/>
      <c r="W328" s="37"/>
      <c r="X328" s="37"/>
    </row>
    <row r="329" spans="17:24" x14ac:dyDescent="0.25">
      <c r="Q329" s="29"/>
      <c r="R329" s="29"/>
      <c r="S329" s="29"/>
      <c r="T329" s="29"/>
      <c r="V329" s="37"/>
      <c r="W329" s="37"/>
      <c r="X329" s="37"/>
    </row>
    <row r="330" spans="17:24" x14ac:dyDescent="0.25">
      <c r="Q330" s="29"/>
      <c r="R330" s="29"/>
      <c r="S330" s="29"/>
      <c r="T330" s="29"/>
      <c r="V330" s="37"/>
      <c r="W330" s="37"/>
      <c r="X330" s="37"/>
    </row>
    <row r="331" spans="17:24" x14ac:dyDescent="0.25">
      <c r="Q331" s="29"/>
      <c r="R331" s="29"/>
      <c r="S331" s="29"/>
      <c r="T331" s="29"/>
      <c r="V331" s="37"/>
      <c r="W331" s="37"/>
      <c r="X331" s="37"/>
    </row>
    <row r="332" spans="17:24" x14ac:dyDescent="0.25">
      <c r="Q332" s="29"/>
      <c r="R332" s="29"/>
      <c r="S332" s="29"/>
      <c r="T332" s="29"/>
      <c r="V332" s="37"/>
      <c r="W332" s="37"/>
      <c r="X332" s="37"/>
    </row>
    <row r="333" spans="17:24" x14ac:dyDescent="0.25">
      <c r="Q333" s="29"/>
      <c r="R333" s="29"/>
      <c r="S333" s="29"/>
      <c r="T333" s="29"/>
      <c r="V333" s="37"/>
      <c r="W333" s="37"/>
      <c r="X333" s="37"/>
    </row>
    <row r="334" spans="17:24" x14ac:dyDescent="0.25">
      <c r="Q334" s="29"/>
      <c r="R334" s="29"/>
      <c r="S334" s="29"/>
      <c r="T334" s="29"/>
      <c r="V334" s="37"/>
      <c r="W334" s="37"/>
      <c r="X334" s="37"/>
    </row>
    <row r="335" spans="17:24" x14ac:dyDescent="0.25">
      <c r="Q335" s="29"/>
      <c r="R335" s="29"/>
      <c r="S335" s="29"/>
      <c r="T335" s="29"/>
      <c r="V335" s="37"/>
      <c r="W335" s="37"/>
      <c r="X335" s="37"/>
    </row>
    <row r="336" spans="17:24" x14ac:dyDescent="0.25">
      <c r="Q336" s="29"/>
      <c r="R336" s="29"/>
      <c r="S336" s="29"/>
      <c r="T336" s="29"/>
      <c r="V336" s="37"/>
      <c r="W336" s="37"/>
      <c r="X336" s="37"/>
    </row>
    <row r="337" spans="17:24" x14ac:dyDescent="0.25">
      <c r="Q337" s="29"/>
      <c r="R337" s="29"/>
      <c r="S337" s="29"/>
      <c r="T337" s="29"/>
      <c r="V337" s="37"/>
      <c r="W337" s="37"/>
      <c r="X337" s="37"/>
    </row>
    <row r="338" spans="17:24" x14ac:dyDescent="0.25">
      <c r="Q338" s="29"/>
      <c r="R338" s="29"/>
      <c r="S338" s="29"/>
      <c r="T338" s="29"/>
      <c r="V338" s="37"/>
      <c r="W338" s="37"/>
      <c r="X338" s="37"/>
    </row>
    <row r="339" spans="17:24" x14ac:dyDescent="0.25">
      <c r="Q339" s="29"/>
      <c r="R339" s="29"/>
      <c r="S339" s="29"/>
      <c r="T339" s="29"/>
      <c r="V339" s="37"/>
      <c r="W339" s="37"/>
      <c r="X339" s="37"/>
    </row>
  </sheetData>
  <mergeCells count="1">
    <mergeCell ref="Q1:T1"/>
  </mergeCells>
  <dataValidations count="4">
    <dataValidation type="list" allowBlank="1" showInputMessage="1" showErrorMessage="1" sqref="O7 O3:O5" xr:uid="{8A653732-7901-4BD8-BF4F-E70689E3060E}">
      <formula1>"Pass,Fail"</formula1>
    </dataValidation>
    <dataValidation type="list" allowBlank="1" showInputMessage="1" showErrorMessage="1" sqref="O6 O8:O146" xr:uid="{EE90E831-A364-4692-8D00-58DA55B93ACA}">
      <formula1>"Pass,Fail,Manual Check Required"</formula1>
    </dataValidation>
    <dataValidation type="list" allowBlank="1" showInputMessage="1" showErrorMessage="1" sqref="Y3:Y146" xr:uid="{C9137A0B-BF32-472F-999D-4E6E569D0BAB}">
      <formula1>"One Shell Flex, Two Shell Flex"</formula1>
    </dataValidation>
    <dataValidation type="list" allowBlank="1" showInputMessage="1" showErrorMessage="1" sqref="N3:N146" xr:uid="{993CC07E-298D-414E-8628-7D099D2612CD}">
      <formula1>"Baseline,Proposed,User"</formula1>
    </dataValidation>
  </dataValidations>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36A34-B1DB-450C-8BEA-0F007F146490}">
  <dimension ref="A1:D51"/>
  <sheetViews>
    <sheetView topLeftCell="A22" workbookViewId="0">
      <selection activeCell="B36" sqref="B36"/>
    </sheetView>
  </sheetViews>
  <sheetFormatPr defaultRowHeight="14.4" x14ac:dyDescent="0.3"/>
  <cols>
    <col min="1" max="1" width="30.77734375" customWidth="1"/>
    <col min="2" max="2" width="17.77734375" customWidth="1"/>
    <col min="3" max="3" width="17.109375" customWidth="1"/>
    <col min="4" max="4" width="14.21875" customWidth="1"/>
  </cols>
  <sheetData>
    <row r="1" spans="1:4" x14ac:dyDescent="0.3">
      <c r="A1" t="s">
        <v>84</v>
      </c>
      <c r="C1" s="152" t="s">
        <v>1017</v>
      </c>
      <c r="D1" s="147" t="s">
        <v>1030</v>
      </c>
    </row>
    <row r="2" spans="1:4" ht="15" thickBot="1" x14ac:dyDescent="0.35">
      <c r="A2" t="s">
        <v>1026</v>
      </c>
      <c r="B2" s="146" t="s">
        <v>1016</v>
      </c>
      <c r="C2" s="153" t="s">
        <v>1027</v>
      </c>
      <c r="D2" s="148" t="s">
        <v>1027</v>
      </c>
    </row>
    <row r="3" spans="1:4" x14ac:dyDescent="0.3">
      <c r="A3" t="s">
        <v>994</v>
      </c>
      <c r="B3" s="139" t="s">
        <v>1015</v>
      </c>
      <c r="C3" s="140" t="s">
        <v>1015</v>
      </c>
      <c r="D3" s="149" t="s">
        <v>1015</v>
      </c>
    </row>
    <row r="4" spans="1:4" x14ac:dyDescent="0.3">
      <c r="A4" t="s">
        <v>995</v>
      </c>
      <c r="B4" s="139" t="b">
        <v>1</v>
      </c>
      <c r="C4" s="141" t="b">
        <v>1</v>
      </c>
      <c r="D4" s="144" t="b">
        <v>1</v>
      </c>
    </row>
    <row r="5" spans="1:4" x14ac:dyDescent="0.3">
      <c r="B5" s="138"/>
      <c r="C5" s="142"/>
      <c r="D5" s="150"/>
    </row>
    <row r="6" spans="1:4" x14ac:dyDescent="0.3">
      <c r="A6" t="s">
        <v>996</v>
      </c>
      <c r="B6" s="139">
        <v>1</v>
      </c>
      <c r="C6" s="141">
        <v>1</v>
      </c>
      <c r="D6" s="144">
        <v>1</v>
      </c>
    </row>
    <row r="7" spans="1:4" x14ac:dyDescent="0.3">
      <c r="A7" t="s">
        <v>997</v>
      </c>
      <c r="B7" s="139">
        <v>9000</v>
      </c>
      <c r="C7" s="141">
        <v>9000</v>
      </c>
      <c r="D7" s="144">
        <v>9000</v>
      </c>
    </row>
    <row r="8" spans="1:4" x14ac:dyDescent="0.3">
      <c r="A8" t="s">
        <v>998</v>
      </c>
      <c r="B8" s="139">
        <v>32000</v>
      </c>
      <c r="C8" s="141">
        <v>32000</v>
      </c>
      <c r="D8" s="144">
        <v>32000</v>
      </c>
    </row>
    <row r="9" spans="1:4" x14ac:dyDescent="0.3">
      <c r="B9" s="138"/>
      <c r="C9" s="143"/>
      <c r="D9" s="150"/>
    </row>
    <row r="10" spans="1:4" x14ac:dyDescent="0.3">
      <c r="A10" t="s">
        <v>999</v>
      </c>
      <c r="B10" s="139">
        <v>1</v>
      </c>
      <c r="C10" s="141">
        <v>1</v>
      </c>
      <c r="D10" s="144">
        <v>1</v>
      </c>
    </row>
    <row r="11" spans="1:4" x14ac:dyDescent="0.3">
      <c r="A11" t="s">
        <v>1000</v>
      </c>
      <c r="B11" s="139">
        <v>1000</v>
      </c>
      <c r="C11" s="141">
        <v>1000</v>
      </c>
      <c r="D11" s="144">
        <v>1000</v>
      </c>
    </row>
    <row r="12" spans="1:4" x14ac:dyDescent="0.3">
      <c r="A12" t="s">
        <v>1008</v>
      </c>
      <c r="B12" s="138" t="s">
        <v>1009</v>
      </c>
      <c r="C12" s="142"/>
      <c r="D12" s="150"/>
    </row>
    <row r="13" spans="1:4" x14ac:dyDescent="0.3">
      <c r="B13" s="138"/>
      <c r="C13" s="143"/>
      <c r="D13" s="143"/>
    </row>
    <row r="14" spans="1:4" x14ac:dyDescent="0.3">
      <c r="A14" t="s">
        <v>1001</v>
      </c>
      <c r="B14" s="139" t="s">
        <v>1011</v>
      </c>
      <c r="C14" s="144" t="s">
        <v>1011</v>
      </c>
      <c r="D14" s="144" t="s">
        <v>1013</v>
      </c>
    </row>
    <row r="15" spans="1:4" x14ac:dyDescent="0.3">
      <c r="A15" t="s">
        <v>1002</v>
      </c>
      <c r="B15" s="139">
        <v>90</v>
      </c>
      <c r="C15" s="141">
        <v>90</v>
      </c>
      <c r="D15" s="144">
        <v>90</v>
      </c>
    </row>
    <row r="16" spans="1:4" x14ac:dyDescent="0.3">
      <c r="A16" t="s">
        <v>1003</v>
      </c>
      <c r="B16" s="139" t="s">
        <v>1007</v>
      </c>
      <c r="C16" s="141" t="s">
        <v>1007</v>
      </c>
      <c r="D16" s="144" t="s">
        <v>1007</v>
      </c>
    </row>
    <row r="17" spans="1:4" x14ac:dyDescent="0.3">
      <c r="A17" t="s">
        <v>1004</v>
      </c>
      <c r="B17" s="139">
        <v>0</v>
      </c>
      <c r="C17" s="141">
        <v>0</v>
      </c>
      <c r="D17" s="144">
        <v>0</v>
      </c>
    </row>
    <row r="18" spans="1:4" x14ac:dyDescent="0.3">
      <c r="A18" t="s">
        <v>1010</v>
      </c>
      <c r="B18" s="139">
        <v>500</v>
      </c>
      <c r="C18" s="141">
        <v>500</v>
      </c>
      <c r="D18" s="144">
        <v>500</v>
      </c>
    </row>
    <row r="19" spans="1:4" x14ac:dyDescent="0.3">
      <c r="B19" s="138"/>
      <c r="C19" s="142"/>
      <c r="D19" s="150"/>
    </row>
    <row r="20" spans="1:4" x14ac:dyDescent="0.3">
      <c r="A20" t="s">
        <v>1005</v>
      </c>
      <c r="B20" s="139" t="s">
        <v>1012</v>
      </c>
      <c r="C20" s="144" t="s">
        <v>1012</v>
      </c>
      <c r="D20" s="144" t="s">
        <v>1014</v>
      </c>
    </row>
    <row r="21" spans="1:4" x14ac:dyDescent="0.3">
      <c r="A21" t="s">
        <v>1006</v>
      </c>
      <c r="B21" s="139">
        <v>100</v>
      </c>
      <c r="C21" s="141">
        <v>82.5</v>
      </c>
      <c r="D21" s="144">
        <v>165</v>
      </c>
    </row>
    <row r="22" spans="1:4" x14ac:dyDescent="0.3">
      <c r="B22" s="138"/>
      <c r="C22" s="142"/>
      <c r="D22" s="150"/>
    </row>
    <row r="23" spans="1:4" x14ac:dyDescent="0.3">
      <c r="A23" t="s">
        <v>1001</v>
      </c>
      <c r="B23" s="139" t="s">
        <v>1013</v>
      </c>
      <c r="C23" s="144" t="s">
        <v>1013</v>
      </c>
      <c r="D23" s="144" t="s">
        <v>1028</v>
      </c>
    </row>
    <row r="24" spans="1:4" x14ac:dyDescent="0.3">
      <c r="A24" t="s">
        <v>1002</v>
      </c>
      <c r="B24" s="139">
        <v>90</v>
      </c>
      <c r="C24" s="141">
        <v>90</v>
      </c>
      <c r="D24" s="144">
        <v>90</v>
      </c>
    </row>
    <row r="25" spans="1:4" x14ac:dyDescent="0.3">
      <c r="A25" t="s">
        <v>1003</v>
      </c>
      <c r="B25" s="139" t="s">
        <v>1007</v>
      </c>
      <c r="C25" s="141" t="s">
        <v>1007</v>
      </c>
      <c r="D25" s="144" t="s">
        <v>1007</v>
      </c>
    </row>
    <row r="26" spans="1:4" x14ac:dyDescent="0.3">
      <c r="A26" t="s">
        <v>1004</v>
      </c>
      <c r="B26" s="139">
        <v>90</v>
      </c>
      <c r="C26" s="141">
        <v>90</v>
      </c>
      <c r="D26" s="144">
        <v>90</v>
      </c>
    </row>
    <row r="27" spans="1:4" x14ac:dyDescent="0.3">
      <c r="A27" t="s">
        <v>105</v>
      </c>
      <c r="B27" s="139">
        <v>1000</v>
      </c>
      <c r="C27" s="141">
        <v>1000</v>
      </c>
      <c r="D27" s="144">
        <v>1000</v>
      </c>
    </row>
    <row r="28" spans="1:4" x14ac:dyDescent="0.3">
      <c r="B28" s="138"/>
      <c r="C28" s="142"/>
      <c r="D28" s="150"/>
    </row>
    <row r="29" spans="1:4" x14ac:dyDescent="0.3">
      <c r="A29" t="s">
        <v>1005</v>
      </c>
      <c r="B29" s="139" t="s">
        <v>1014</v>
      </c>
      <c r="C29" s="144" t="s">
        <v>1014</v>
      </c>
      <c r="D29" s="144" t="s">
        <v>1029</v>
      </c>
    </row>
    <row r="30" spans="1:4" ht="15" thickBot="1" x14ac:dyDescent="0.35">
      <c r="A30" t="s">
        <v>1006</v>
      </c>
      <c r="B30" s="139">
        <v>300</v>
      </c>
      <c r="C30" s="145">
        <v>247.5</v>
      </c>
      <c r="D30" s="151">
        <v>165</v>
      </c>
    </row>
    <row r="32" spans="1:4" x14ac:dyDescent="0.3">
      <c r="A32" t="s">
        <v>1044</v>
      </c>
      <c r="B32" s="158" t="s">
        <v>1045</v>
      </c>
    </row>
    <row r="33" spans="1:4" x14ac:dyDescent="0.3">
      <c r="A33" t="s">
        <v>1046</v>
      </c>
      <c r="B33" t="s">
        <v>1047</v>
      </c>
    </row>
    <row r="40" spans="1:4" x14ac:dyDescent="0.3">
      <c r="A40" t="s">
        <v>1020</v>
      </c>
      <c r="C40">
        <v>0.22</v>
      </c>
      <c r="D40">
        <v>0.22</v>
      </c>
    </row>
    <row r="41" spans="1:4" x14ac:dyDescent="0.3">
      <c r="C41" t="s">
        <v>1021</v>
      </c>
      <c r="D41" t="s">
        <v>1021</v>
      </c>
    </row>
    <row r="42" spans="1:4" x14ac:dyDescent="0.3">
      <c r="A42" t="s">
        <v>1022</v>
      </c>
    </row>
    <row r="43" spans="1:4" x14ac:dyDescent="0.3">
      <c r="A43" t="s">
        <v>1018</v>
      </c>
      <c r="B43">
        <f>B21/(B21+B30)</f>
        <v>0.25</v>
      </c>
    </row>
    <row r="44" spans="1:4" x14ac:dyDescent="0.3">
      <c r="A44" t="s">
        <v>1019</v>
      </c>
      <c r="B44">
        <f>B30/(B30+B21)</f>
        <v>0.75</v>
      </c>
    </row>
    <row r="46" spans="1:4" x14ac:dyDescent="0.3">
      <c r="A46" t="s">
        <v>1023</v>
      </c>
      <c r="C46">
        <f>C40*(C18+C27)</f>
        <v>330</v>
      </c>
      <c r="D46">
        <f>D40*(D18+D27)</f>
        <v>330</v>
      </c>
    </row>
    <row r="47" spans="1:4" x14ac:dyDescent="0.3">
      <c r="A47" t="s">
        <v>1024</v>
      </c>
    </row>
    <row r="48" spans="1:4" x14ac:dyDescent="0.3">
      <c r="A48" t="s">
        <v>1018</v>
      </c>
      <c r="C48">
        <f>C46*$B$43</f>
        <v>82.5</v>
      </c>
      <c r="D48">
        <f>D46*$B$43</f>
        <v>82.5</v>
      </c>
    </row>
    <row r="49" spans="1:4" x14ac:dyDescent="0.3">
      <c r="A49" t="s">
        <v>1019</v>
      </c>
      <c r="C49">
        <f>C46*$B$44</f>
        <v>247.5</v>
      </c>
      <c r="D49">
        <f>D46*$B$44</f>
        <v>247.5</v>
      </c>
    </row>
    <row r="51" spans="1:4" x14ac:dyDescent="0.3">
      <c r="A51" t="s">
        <v>1025</v>
      </c>
      <c r="C51" t="s">
        <v>122</v>
      </c>
      <c r="D51" t="s">
        <v>124</v>
      </c>
    </row>
  </sheetData>
  <phoneticPr fontId="6" type="noConversion"/>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7B540-E46F-4DAC-BB85-7B3BE05FB5A7}">
  <dimension ref="A1:H44"/>
  <sheetViews>
    <sheetView workbookViewId="0">
      <pane xSplit="1" ySplit="2" topLeftCell="B23" activePane="bottomRight" state="frozen"/>
      <selection pane="topRight" activeCell="B1" sqref="B1"/>
      <selection pane="bottomLeft" activeCell="A3" sqref="A3"/>
      <selection pane="bottomRight" activeCell="K40" sqref="K40"/>
    </sheetView>
  </sheetViews>
  <sheetFormatPr defaultRowHeight="13.8" x14ac:dyDescent="0.25"/>
  <cols>
    <col min="1" max="1" width="32" style="160" customWidth="1"/>
    <col min="2" max="2" width="16.33203125" style="160" customWidth="1"/>
    <col min="3" max="4" width="14.6640625" style="160" customWidth="1"/>
    <col min="5" max="7" width="15" style="160" customWidth="1"/>
    <col min="8" max="16384" width="8.88671875" style="160"/>
  </cols>
  <sheetData>
    <row r="1" spans="1:7" x14ac:dyDescent="0.25">
      <c r="A1" s="170" t="s">
        <v>84</v>
      </c>
      <c r="B1" s="183"/>
      <c r="C1" s="171" t="s">
        <v>1041</v>
      </c>
      <c r="D1" s="171" t="s">
        <v>1057</v>
      </c>
      <c r="F1" s="172" t="s">
        <v>1058</v>
      </c>
      <c r="G1" s="172" t="s">
        <v>1059</v>
      </c>
    </row>
    <row r="2" spans="1:7" x14ac:dyDescent="0.25">
      <c r="A2" s="170" t="s">
        <v>1026</v>
      </c>
      <c r="B2" s="184" t="s">
        <v>1016</v>
      </c>
      <c r="C2" s="171" t="s">
        <v>1027</v>
      </c>
      <c r="D2" s="171" t="s">
        <v>1027</v>
      </c>
      <c r="E2" s="161" t="s">
        <v>1016</v>
      </c>
      <c r="F2" s="171" t="s">
        <v>1027</v>
      </c>
      <c r="G2" s="171" t="s">
        <v>1027</v>
      </c>
    </row>
    <row r="3" spans="1:7" x14ac:dyDescent="0.25">
      <c r="A3" s="173" t="s">
        <v>1031</v>
      </c>
      <c r="B3" s="185"/>
      <c r="C3" s="175"/>
      <c r="D3" s="170"/>
      <c r="F3" s="170"/>
      <c r="G3" s="170"/>
    </row>
    <row r="4" spans="1:7" x14ac:dyDescent="0.25">
      <c r="A4" s="177"/>
      <c r="B4" s="185"/>
      <c r="C4" s="175"/>
      <c r="D4" s="170"/>
      <c r="F4" s="170"/>
      <c r="G4" s="170"/>
    </row>
    <row r="5" spans="1:7" ht="15" customHeight="1" x14ac:dyDescent="0.25">
      <c r="A5" s="173" t="s">
        <v>1032</v>
      </c>
      <c r="B5" s="186" t="s">
        <v>1040</v>
      </c>
      <c r="C5" s="176" t="s">
        <v>1040</v>
      </c>
      <c r="D5" s="176" t="s">
        <v>1040</v>
      </c>
      <c r="E5" s="186" t="s">
        <v>1040</v>
      </c>
      <c r="F5" s="176" t="s">
        <v>1040</v>
      </c>
      <c r="G5" s="176" t="s">
        <v>1040</v>
      </c>
    </row>
    <row r="6" spans="1:7" x14ac:dyDescent="0.25">
      <c r="A6" s="177"/>
      <c r="B6" s="185"/>
      <c r="C6" s="174"/>
      <c r="D6" s="178"/>
      <c r="E6" s="185"/>
      <c r="F6" s="178"/>
      <c r="G6" s="178"/>
    </row>
    <row r="7" spans="1:7" ht="16.2" customHeight="1" x14ac:dyDescent="0.25">
      <c r="A7" s="173" t="s">
        <v>1033</v>
      </c>
      <c r="B7" s="186" t="s">
        <v>1011</v>
      </c>
      <c r="C7" s="176" t="s">
        <v>1011</v>
      </c>
      <c r="D7" s="176" t="s">
        <v>1011</v>
      </c>
      <c r="E7" s="186" t="s">
        <v>1011</v>
      </c>
      <c r="F7" s="176" t="s">
        <v>1011</v>
      </c>
      <c r="G7" s="176" t="s">
        <v>1011</v>
      </c>
    </row>
    <row r="8" spans="1:7" x14ac:dyDescent="0.25">
      <c r="A8" s="173" t="s">
        <v>1034</v>
      </c>
      <c r="B8" s="186">
        <v>59</v>
      </c>
      <c r="C8" s="176">
        <v>59</v>
      </c>
      <c r="D8" s="179">
        <v>59</v>
      </c>
      <c r="E8" s="186">
        <v>59</v>
      </c>
      <c r="F8" s="179">
        <v>59</v>
      </c>
      <c r="G8" s="179">
        <v>59</v>
      </c>
    </row>
    <row r="9" spans="1:7" x14ac:dyDescent="0.25">
      <c r="A9" s="173" t="s">
        <v>1035</v>
      </c>
      <c r="B9" s="186" t="s">
        <v>1007</v>
      </c>
      <c r="C9" s="176" t="s">
        <v>1007</v>
      </c>
      <c r="D9" s="179" t="s">
        <v>1007</v>
      </c>
      <c r="E9" s="186" t="s">
        <v>1007</v>
      </c>
      <c r="F9" s="179" t="s">
        <v>1007</v>
      </c>
      <c r="G9" s="179" t="s">
        <v>1007</v>
      </c>
    </row>
    <row r="10" spans="1:7" x14ac:dyDescent="0.25">
      <c r="A10" s="173" t="s">
        <v>1036</v>
      </c>
      <c r="B10" s="186">
        <v>0</v>
      </c>
      <c r="C10" s="176">
        <v>0</v>
      </c>
      <c r="D10" s="170"/>
      <c r="E10" s="186">
        <v>0</v>
      </c>
      <c r="F10" s="179">
        <v>0</v>
      </c>
      <c r="G10" s="179">
        <v>0</v>
      </c>
    </row>
    <row r="11" spans="1:7" x14ac:dyDescent="0.25">
      <c r="A11" s="173" t="s">
        <v>1037</v>
      </c>
      <c r="B11" s="186">
        <v>1000</v>
      </c>
      <c r="C11" s="176">
        <v>1000</v>
      </c>
      <c r="D11" s="179">
        <v>1000</v>
      </c>
      <c r="E11" s="186">
        <v>1000</v>
      </c>
      <c r="F11" s="179">
        <v>1000</v>
      </c>
      <c r="G11" s="179">
        <v>1000</v>
      </c>
    </row>
    <row r="12" spans="1:7" x14ac:dyDescent="0.25">
      <c r="A12" s="177"/>
      <c r="B12" s="183"/>
      <c r="C12" s="175"/>
      <c r="D12" s="178"/>
      <c r="E12" s="183"/>
      <c r="F12" s="178"/>
      <c r="G12" s="178"/>
    </row>
    <row r="13" spans="1:7" ht="19.8" customHeight="1" x14ac:dyDescent="0.25">
      <c r="A13" s="173" t="s">
        <v>1038</v>
      </c>
      <c r="B13" s="186" t="s">
        <v>1012</v>
      </c>
      <c r="C13" s="176" t="s">
        <v>1012</v>
      </c>
      <c r="D13" s="176" t="s">
        <v>1012</v>
      </c>
      <c r="E13" s="186" t="s">
        <v>1012</v>
      </c>
      <c r="F13" s="176" t="s">
        <v>1012</v>
      </c>
      <c r="G13" s="176" t="s">
        <v>1012</v>
      </c>
    </row>
    <row r="14" spans="1:7" x14ac:dyDescent="0.25">
      <c r="A14" s="173" t="s">
        <v>1039</v>
      </c>
      <c r="B14" s="186">
        <v>60</v>
      </c>
      <c r="C14" s="176">
        <v>60</v>
      </c>
      <c r="D14" s="179">
        <v>100</v>
      </c>
      <c r="E14" s="186">
        <v>100</v>
      </c>
      <c r="F14" s="179">
        <v>50</v>
      </c>
      <c r="G14" s="179">
        <v>45</v>
      </c>
    </row>
    <row r="15" spans="1:7" x14ac:dyDescent="0.25">
      <c r="A15" s="177"/>
      <c r="B15" s="185"/>
      <c r="C15" s="174"/>
      <c r="D15" s="178"/>
      <c r="E15" s="185"/>
      <c r="F15" s="178"/>
      <c r="G15" s="178"/>
    </row>
    <row r="16" spans="1:7" x14ac:dyDescent="0.25">
      <c r="A16" s="173" t="s">
        <v>1033</v>
      </c>
      <c r="B16" s="186" t="s">
        <v>1013</v>
      </c>
      <c r="C16" s="176" t="s">
        <v>1013</v>
      </c>
      <c r="D16" s="176" t="s">
        <v>1013</v>
      </c>
      <c r="E16" s="186" t="s">
        <v>1013</v>
      </c>
      <c r="F16" s="176" t="s">
        <v>1013</v>
      </c>
      <c r="G16" s="176" t="s">
        <v>1013</v>
      </c>
    </row>
    <row r="17" spans="1:8" x14ac:dyDescent="0.25">
      <c r="A17" s="173" t="s">
        <v>1034</v>
      </c>
      <c r="B17" s="186">
        <v>59</v>
      </c>
      <c r="C17" s="176">
        <v>59</v>
      </c>
      <c r="D17" s="179">
        <v>59</v>
      </c>
      <c r="E17" s="186">
        <v>59</v>
      </c>
      <c r="F17" s="179">
        <v>59</v>
      </c>
      <c r="G17" s="179">
        <v>59</v>
      </c>
    </row>
    <row r="18" spans="1:8" x14ac:dyDescent="0.25">
      <c r="A18" s="173" t="s">
        <v>1035</v>
      </c>
      <c r="B18" s="186" t="s">
        <v>1007</v>
      </c>
      <c r="C18" s="176" t="s">
        <v>1007</v>
      </c>
      <c r="D18" s="179" t="s">
        <v>1007</v>
      </c>
      <c r="E18" s="186" t="s">
        <v>1007</v>
      </c>
      <c r="F18" s="179" t="s">
        <v>1007</v>
      </c>
      <c r="G18" s="179" t="s">
        <v>1007</v>
      </c>
    </row>
    <row r="19" spans="1:8" x14ac:dyDescent="0.25">
      <c r="A19" s="173" t="s">
        <v>1036</v>
      </c>
      <c r="B19" s="186">
        <v>90</v>
      </c>
      <c r="C19" s="176">
        <v>90</v>
      </c>
      <c r="D19" s="170"/>
      <c r="E19" s="186">
        <v>90</v>
      </c>
      <c r="F19" s="179">
        <v>90</v>
      </c>
      <c r="G19" s="179">
        <v>90</v>
      </c>
    </row>
    <row r="20" spans="1:8" x14ac:dyDescent="0.25">
      <c r="A20" s="173" t="s">
        <v>1037</v>
      </c>
      <c r="B20" s="186">
        <v>1000</v>
      </c>
      <c r="C20" s="176">
        <v>1000</v>
      </c>
      <c r="D20" s="179">
        <v>1000</v>
      </c>
      <c r="E20" s="186">
        <v>2000</v>
      </c>
      <c r="F20" s="179">
        <v>2000</v>
      </c>
      <c r="G20" s="179">
        <v>2000</v>
      </c>
    </row>
    <row r="21" spans="1:8" s="162" customFormat="1" x14ac:dyDescent="0.25">
      <c r="A21" s="180"/>
      <c r="B21" s="180"/>
      <c r="C21" s="181"/>
      <c r="D21" s="180"/>
      <c r="F21" s="178"/>
      <c r="G21" s="178"/>
    </row>
    <row r="22" spans="1:8" s="162" customFormat="1" x14ac:dyDescent="0.25">
      <c r="A22" s="173" t="s">
        <v>1060</v>
      </c>
      <c r="C22" s="182"/>
      <c r="D22" s="182"/>
      <c r="E22" s="176" t="s">
        <v>1012</v>
      </c>
      <c r="F22" s="176" t="s">
        <v>1012</v>
      </c>
      <c r="G22" s="176" t="s">
        <v>1012</v>
      </c>
    </row>
    <row r="23" spans="1:8" s="162" customFormat="1" x14ac:dyDescent="0.25">
      <c r="A23" s="173" t="s">
        <v>1061</v>
      </c>
      <c r="C23" s="182"/>
      <c r="D23" s="182"/>
      <c r="E23" s="176">
        <v>100</v>
      </c>
      <c r="F23" s="179">
        <v>40</v>
      </c>
      <c r="G23" s="179">
        <v>45</v>
      </c>
    </row>
    <row r="24" spans="1:8" s="162" customFormat="1" x14ac:dyDescent="0.25">
      <c r="A24" s="169"/>
      <c r="B24" s="169"/>
      <c r="C24" s="166"/>
      <c r="D24" s="167"/>
      <c r="E24" s="169"/>
      <c r="F24" s="169"/>
      <c r="G24" s="169"/>
      <c r="H24" s="169"/>
    </row>
    <row r="25" spans="1:8" s="162" customFormat="1" x14ac:dyDescent="0.25">
      <c r="A25" s="169"/>
      <c r="B25" s="169"/>
      <c r="C25" s="166"/>
      <c r="D25" s="167"/>
      <c r="E25" s="169"/>
      <c r="F25" s="169"/>
      <c r="G25" s="169"/>
      <c r="H25" s="169"/>
    </row>
    <row r="26" spans="1:8" s="162" customFormat="1" ht="14.4" thickBot="1" x14ac:dyDescent="0.3">
      <c r="A26" s="157" t="s">
        <v>1043</v>
      </c>
      <c r="B26" s="163" t="s">
        <v>1049</v>
      </c>
      <c r="C26" s="164"/>
      <c r="D26" s="165"/>
    </row>
    <row r="27" spans="1:8" s="162" customFormat="1" x14ac:dyDescent="0.25">
      <c r="A27" s="157" t="s">
        <v>1002</v>
      </c>
      <c r="B27" s="162" t="s">
        <v>1050</v>
      </c>
      <c r="C27" s="166"/>
      <c r="D27" s="167"/>
    </row>
    <row r="28" spans="1:8" s="162" customFormat="1" x14ac:dyDescent="0.25">
      <c r="A28" s="162" t="s">
        <v>1048</v>
      </c>
      <c r="C28" s="166"/>
      <c r="D28" s="167"/>
    </row>
    <row r="29" spans="1:8" x14ac:dyDescent="0.25">
      <c r="A29" s="159" t="s">
        <v>1042</v>
      </c>
      <c r="B29" s="160" t="s">
        <v>1051</v>
      </c>
    </row>
    <row r="30" spans="1:8" x14ac:dyDescent="0.25">
      <c r="A30" s="168" t="s">
        <v>1052</v>
      </c>
      <c r="B30" s="160" t="s">
        <v>1053</v>
      </c>
    </row>
    <row r="32" spans="1:8" x14ac:dyDescent="0.25">
      <c r="A32" s="168" t="s">
        <v>1062</v>
      </c>
      <c r="B32" s="160" t="s">
        <v>1054</v>
      </c>
    </row>
    <row r="33" spans="1:7" x14ac:dyDescent="0.25">
      <c r="B33" s="160">
        <f>B14/(B11+B20)</f>
        <v>0.03</v>
      </c>
      <c r="C33" s="160">
        <f t="shared" ref="C33:D33" si="0">C14/(C11+C20)</f>
        <v>0.03</v>
      </c>
      <c r="D33" s="160">
        <f t="shared" si="0"/>
        <v>0.05</v>
      </c>
    </row>
    <row r="34" spans="1:7" x14ac:dyDescent="0.25">
      <c r="A34" s="168" t="s">
        <v>1055</v>
      </c>
      <c r="B34" s="160" t="s">
        <v>1056</v>
      </c>
    </row>
    <row r="35" spans="1:7" x14ac:dyDescent="0.25">
      <c r="C35" s="187" t="s">
        <v>122</v>
      </c>
      <c r="D35" s="187" t="s">
        <v>124</v>
      </c>
    </row>
    <row r="38" spans="1:7" x14ac:dyDescent="0.25">
      <c r="A38" s="168" t="s">
        <v>1062</v>
      </c>
      <c r="B38" s="160" t="s">
        <v>1054</v>
      </c>
    </row>
    <row r="39" spans="1:7" x14ac:dyDescent="0.25">
      <c r="E39" s="160">
        <f>ROUND((E14+E23)/(E11+E20),3)</f>
        <v>6.7000000000000004E-2</v>
      </c>
      <c r="F39" s="160">
        <f t="shared" ref="F39:G39" si="1">ROUND((F14+F23)/(F11+F20),3)</f>
        <v>0.03</v>
      </c>
      <c r="G39" s="160">
        <f t="shared" si="1"/>
        <v>0.03</v>
      </c>
    </row>
    <row r="40" spans="1:7" x14ac:dyDescent="0.25">
      <c r="A40" s="160" t="s">
        <v>1055</v>
      </c>
      <c r="B40" s="160" t="s">
        <v>1063</v>
      </c>
    </row>
    <row r="41" spans="1:7" x14ac:dyDescent="0.25">
      <c r="E41" s="160">
        <f>E14/(E14+E23)</f>
        <v>0.5</v>
      </c>
      <c r="F41" s="160">
        <f>ROUND(F14/(F14+F23),3)</f>
        <v>0.55600000000000005</v>
      </c>
      <c r="G41" s="160">
        <f t="shared" ref="F41:G41" si="2">G14/(G14+G23)</f>
        <v>0.5</v>
      </c>
    </row>
    <row r="42" spans="1:7" x14ac:dyDescent="0.25">
      <c r="E42" s="160">
        <f>E23/(E23+E14)</f>
        <v>0.5</v>
      </c>
      <c r="F42" s="160">
        <f>ROUND(F23/(F23+F14),3)</f>
        <v>0.44400000000000001</v>
      </c>
      <c r="G42" s="160">
        <f t="shared" ref="F42:G42" si="3">G23/(G23+G14)</f>
        <v>0.5</v>
      </c>
    </row>
    <row r="43" spans="1:7" x14ac:dyDescent="0.25">
      <c r="A43" s="168" t="s">
        <v>1055</v>
      </c>
      <c r="B43" s="160" t="s">
        <v>1064</v>
      </c>
    </row>
    <row r="44" spans="1:7" x14ac:dyDescent="0.25">
      <c r="C44" s="187"/>
      <c r="D44" s="187"/>
      <c r="F44" s="187" t="s">
        <v>124</v>
      </c>
      <c r="G44" s="187" t="s">
        <v>122</v>
      </c>
    </row>
  </sheetData>
  <phoneticPr fontId="6" type="noConversion"/>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88D906-5A67-4D0C-9CDD-5389705B4DA6}">
  <dimension ref="A1:N16"/>
  <sheetViews>
    <sheetView workbookViewId="0">
      <selection activeCell="A8" sqref="A8"/>
    </sheetView>
  </sheetViews>
  <sheetFormatPr defaultRowHeight="14.4" x14ac:dyDescent="0.3"/>
  <cols>
    <col min="1" max="1" width="21.44140625" customWidth="1"/>
    <col min="2" max="2" width="10.88671875" customWidth="1"/>
    <col min="4" max="5" width="8.88671875" style="69"/>
    <col min="10" max="10" width="16.77734375" customWidth="1"/>
  </cols>
  <sheetData>
    <row r="1" spans="1:14" x14ac:dyDescent="0.3">
      <c r="B1" s="44" t="s">
        <v>357</v>
      </c>
      <c r="C1" s="44"/>
      <c r="F1" s="70" t="s">
        <v>383</v>
      </c>
      <c r="G1" s="70"/>
      <c r="I1" s="44" t="s">
        <v>340</v>
      </c>
      <c r="J1" s="44"/>
      <c r="L1" s="44"/>
      <c r="M1" s="44" t="s">
        <v>632</v>
      </c>
      <c r="N1" s="44"/>
    </row>
    <row r="2" spans="1:14" x14ac:dyDescent="0.3">
      <c r="B2" s="44" t="s">
        <v>337</v>
      </c>
      <c r="C2" s="44" t="s">
        <v>338</v>
      </c>
      <c r="F2" s="70" t="s">
        <v>337</v>
      </c>
      <c r="G2" s="70" t="s">
        <v>338</v>
      </c>
      <c r="I2" s="44" t="s">
        <v>339</v>
      </c>
      <c r="J2" s="44" t="s">
        <v>338</v>
      </c>
      <c r="L2" s="44" t="s">
        <v>105</v>
      </c>
      <c r="M2" s="44" t="s">
        <v>337</v>
      </c>
      <c r="N2" s="44" t="s">
        <v>338</v>
      </c>
    </row>
    <row r="3" spans="1:14" x14ac:dyDescent="0.3">
      <c r="B3" s="44" t="s">
        <v>343</v>
      </c>
      <c r="C3" s="44" t="s">
        <v>174</v>
      </c>
      <c r="F3" s="70" t="s">
        <v>358</v>
      </c>
      <c r="G3" s="70" t="s">
        <v>356</v>
      </c>
      <c r="I3" s="44" t="s">
        <v>341</v>
      </c>
      <c r="J3" s="44" t="s">
        <v>342</v>
      </c>
      <c r="L3" s="44" t="s">
        <v>661</v>
      </c>
      <c r="M3" s="44" t="s">
        <v>633</v>
      </c>
      <c r="N3" s="44" t="s">
        <v>634</v>
      </c>
    </row>
    <row r="4" spans="1:14" x14ac:dyDescent="0.3">
      <c r="A4" t="s">
        <v>344</v>
      </c>
      <c r="B4">
        <v>6.3E-2</v>
      </c>
      <c r="C4" s="68">
        <f>B4*5.678</f>
        <v>0.35771399999999998</v>
      </c>
      <c r="E4" s="69" t="s">
        <v>353</v>
      </c>
      <c r="F4">
        <v>0.73</v>
      </c>
      <c r="G4">
        <f>F4*1.730735</f>
        <v>1.26343655</v>
      </c>
      <c r="I4">
        <v>3.4</v>
      </c>
      <c r="J4" s="68">
        <f>I4*3.15459</f>
        <v>10.725605999999999</v>
      </c>
      <c r="L4">
        <v>2000</v>
      </c>
      <c r="M4">
        <f>0.112*0.4*L4</f>
        <v>89.600000000000009</v>
      </c>
      <c r="N4" s="90">
        <f>M4*0.4719</f>
        <v>42.282240000000002</v>
      </c>
    </row>
    <row r="5" spans="1:14" x14ac:dyDescent="0.3">
      <c r="A5" t="s">
        <v>345</v>
      </c>
      <c r="B5">
        <v>0.218</v>
      </c>
      <c r="C5" s="68">
        <f t="shared" ref="C5:C16" si="0">B5*5.678</f>
        <v>1.2378039999999999</v>
      </c>
      <c r="I5">
        <v>10</v>
      </c>
      <c r="J5" s="68">
        <f t="shared" ref="J5:J7" si="1">I5*3.15459</f>
        <v>31.545899999999996</v>
      </c>
    </row>
    <row r="6" spans="1:14" x14ac:dyDescent="0.3">
      <c r="A6" t="s">
        <v>347</v>
      </c>
      <c r="B6">
        <v>6.4000000000000001E-2</v>
      </c>
      <c r="C6" s="68">
        <f t="shared" si="0"/>
        <v>0.36339199999999999</v>
      </c>
      <c r="J6" s="68">
        <f t="shared" si="1"/>
        <v>0</v>
      </c>
    </row>
    <row r="7" spans="1:14" x14ac:dyDescent="0.3">
      <c r="A7" t="s">
        <v>348</v>
      </c>
      <c r="B7">
        <v>0.124</v>
      </c>
      <c r="C7" s="68">
        <f t="shared" si="0"/>
        <v>0.70407200000000003</v>
      </c>
      <c r="J7" s="68">
        <f t="shared" si="1"/>
        <v>0</v>
      </c>
    </row>
    <row r="8" spans="1:14" x14ac:dyDescent="0.3">
      <c r="A8" t="s">
        <v>349</v>
      </c>
      <c r="B8">
        <v>1.1399999999999999</v>
      </c>
      <c r="C8" s="68">
        <f t="shared" si="0"/>
        <v>6.4729199999999993</v>
      </c>
    </row>
    <row r="9" spans="1:14" x14ac:dyDescent="0.3">
      <c r="A9" t="s">
        <v>350</v>
      </c>
      <c r="B9">
        <v>3.7999999999999999E-2</v>
      </c>
      <c r="C9" s="68">
        <f t="shared" si="0"/>
        <v>0.21576399999999998</v>
      </c>
      <c r="M9" s="54"/>
    </row>
    <row r="10" spans="1:14" x14ac:dyDescent="0.3">
      <c r="A10" t="s">
        <v>351</v>
      </c>
      <c r="B10">
        <v>5.8000000000000003E-2</v>
      </c>
      <c r="C10" s="68">
        <f t="shared" si="0"/>
        <v>0.32932400000000001</v>
      </c>
    </row>
    <row r="11" spans="1:14" x14ac:dyDescent="0.3">
      <c r="A11" t="s">
        <v>352</v>
      </c>
      <c r="B11">
        <v>6.9000000000000006E-2</v>
      </c>
      <c r="C11" s="68">
        <f t="shared" si="0"/>
        <v>0.39178200000000002</v>
      </c>
    </row>
    <row r="12" spans="1:14" x14ac:dyDescent="0.3">
      <c r="A12" t="s">
        <v>456</v>
      </c>
      <c r="B12">
        <v>0.56999999999999995</v>
      </c>
      <c r="C12" s="68">
        <f t="shared" si="0"/>
        <v>3.2364599999999997</v>
      </c>
    </row>
    <row r="13" spans="1:14" x14ac:dyDescent="0.3">
      <c r="A13" t="s">
        <v>457</v>
      </c>
      <c r="B13">
        <v>1.22</v>
      </c>
      <c r="C13" s="68">
        <f t="shared" si="0"/>
        <v>6.9271599999999998</v>
      </c>
    </row>
    <row r="14" spans="1:14" x14ac:dyDescent="0.3">
      <c r="A14" t="s">
        <v>555</v>
      </c>
      <c r="B14">
        <v>0.57999999999999996</v>
      </c>
      <c r="C14" s="68">
        <f t="shared" si="0"/>
        <v>3.2932399999999999</v>
      </c>
    </row>
    <row r="15" spans="1:14" x14ac:dyDescent="0.3">
      <c r="A15" t="s">
        <v>561</v>
      </c>
      <c r="B15">
        <v>0.69</v>
      </c>
      <c r="C15" s="68">
        <f t="shared" si="0"/>
        <v>3.9178199999999999</v>
      </c>
    </row>
    <row r="16" spans="1:14" x14ac:dyDescent="0.3">
      <c r="A16" t="s">
        <v>563</v>
      </c>
      <c r="B16">
        <v>1.36</v>
      </c>
      <c r="C16" s="68">
        <f t="shared" si="0"/>
        <v>7.7220800000000001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408F6-C0C1-47DD-B9D3-82FBD62046F3}">
  <dimension ref="A1:B116"/>
  <sheetViews>
    <sheetView topLeftCell="A37" workbookViewId="0">
      <selection activeCell="A90" sqref="A90:XFD90"/>
    </sheetView>
  </sheetViews>
  <sheetFormatPr defaultRowHeight="14.4" x14ac:dyDescent="0.3"/>
  <cols>
    <col min="1" max="1" width="90" customWidth="1"/>
    <col min="2" max="2" width="10.5546875" customWidth="1"/>
  </cols>
  <sheetData>
    <row r="1" spans="1:2" x14ac:dyDescent="0.3">
      <c r="A1" s="54" t="s">
        <v>192</v>
      </c>
    </row>
    <row r="3" spans="1:2" x14ac:dyDescent="0.3">
      <c r="A3" s="12" t="s">
        <v>193</v>
      </c>
      <c r="B3" s="12"/>
    </row>
    <row r="4" spans="1:2" x14ac:dyDescent="0.3">
      <c r="A4" s="12" t="s">
        <v>194</v>
      </c>
      <c r="B4" s="12"/>
    </row>
    <row r="5" spans="1:2" x14ac:dyDescent="0.3">
      <c r="A5" s="12" t="s">
        <v>195</v>
      </c>
      <c r="B5" s="12"/>
    </row>
    <row r="6" spans="1:2" x14ac:dyDescent="0.3">
      <c r="A6" s="12" t="s">
        <v>196</v>
      </c>
      <c r="B6" s="12"/>
    </row>
    <row r="7" spans="1:2" x14ac:dyDescent="0.3">
      <c r="A7" s="12" t="s">
        <v>197</v>
      </c>
      <c r="B7" s="12"/>
    </row>
    <row r="8" spans="1:2" x14ac:dyDescent="0.3">
      <c r="A8" s="12" t="s">
        <v>198</v>
      </c>
      <c r="B8" s="12"/>
    </row>
    <row r="9" spans="1:2" x14ac:dyDescent="0.3">
      <c r="A9" s="12" t="s">
        <v>199</v>
      </c>
      <c r="B9" s="12"/>
    </row>
    <row r="10" spans="1:2" x14ac:dyDescent="0.3">
      <c r="A10" s="12" t="s">
        <v>200</v>
      </c>
      <c r="B10" s="12"/>
    </row>
    <row r="11" spans="1:2" x14ac:dyDescent="0.3">
      <c r="A11" s="12" t="s">
        <v>201</v>
      </c>
      <c r="B11" s="12"/>
    </row>
    <row r="12" spans="1:2" x14ac:dyDescent="0.3">
      <c r="A12" s="12" t="s">
        <v>195</v>
      </c>
      <c r="B12" s="12"/>
    </row>
    <row r="13" spans="1:2" x14ac:dyDescent="0.3">
      <c r="A13" s="12" t="s">
        <v>195</v>
      </c>
      <c r="B13" s="12"/>
    </row>
    <row r="14" spans="1:2" x14ac:dyDescent="0.3">
      <c r="A14" s="12" t="s">
        <v>202</v>
      </c>
      <c r="B14" s="12"/>
    </row>
    <row r="15" spans="1:2" x14ac:dyDescent="0.3">
      <c r="A15" s="12" t="s">
        <v>203</v>
      </c>
      <c r="B15" s="12"/>
    </row>
    <row r="16" spans="1:2" x14ac:dyDescent="0.3">
      <c r="A16" s="12" t="s">
        <v>204</v>
      </c>
      <c r="B16" s="12"/>
    </row>
    <row r="17" spans="1:2" x14ac:dyDescent="0.3">
      <c r="A17" s="12" t="s">
        <v>205</v>
      </c>
      <c r="B17" s="12"/>
    </row>
    <row r="18" spans="1:2" x14ac:dyDescent="0.3">
      <c r="A18" s="12" t="s">
        <v>206</v>
      </c>
      <c r="B18" s="12"/>
    </row>
    <row r="19" spans="1:2" x14ac:dyDescent="0.3">
      <c r="A19" s="12" t="s">
        <v>207</v>
      </c>
      <c r="B19" s="12"/>
    </row>
    <row r="20" spans="1:2" x14ac:dyDescent="0.3">
      <c r="A20" s="12" t="s">
        <v>208</v>
      </c>
      <c r="B20" s="12"/>
    </row>
    <row r="21" spans="1:2" x14ac:dyDescent="0.3">
      <c r="A21" s="12" t="s">
        <v>209</v>
      </c>
      <c r="B21" s="12"/>
    </row>
    <row r="22" spans="1:2" x14ac:dyDescent="0.3">
      <c r="A22" s="12" t="s">
        <v>210</v>
      </c>
      <c r="B22" s="12"/>
    </row>
    <row r="23" spans="1:2" x14ac:dyDescent="0.3">
      <c r="A23" s="12" t="s">
        <v>211</v>
      </c>
      <c r="B23" s="12"/>
    </row>
    <row r="24" spans="1:2" x14ac:dyDescent="0.3">
      <c r="A24" s="12" t="s">
        <v>212</v>
      </c>
      <c r="B24" s="12"/>
    </row>
    <row r="25" spans="1:2" x14ac:dyDescent="0.3">
      <c r="A25" s="12" t="s">
        <v>213</v>
      </c>
      <c r="B25" s="12"/>
    </row>
    <row r="26" spans="1:2" x14ac:dyDescent="0.3">
      <c r="A26" s="12" t="s">
        <v>214</v>
      </c>
      <c r="B26" s="12"/>
    </row>
    <row r="27" spans="1:2" x14ac:dyDescent="0.3">
      <c r="A27" s="12" t="s">
        <v>215</v>
      </c>
      <c r="B27" s="12"/>
    </row>
    <row r="28" spans="1:2" x14ac:dyDescent="0.3">
      <c r="A28" s="12" t="s">
        <v>216</v>
      </c>
      <c r="B28" s="12"/>
    </row>
    <row r="29" spans="1:2" x14ac:dyDescent="0.3">
      <c r="A29" s="12" t="s">
        <v>217</v>
      </c>
      <c r="B29" s="12"/>
    </row>
    <row r="30" spans="1:2" x14ac:dyDescent="0.3">
      <c r="A30" s="12" t="s">
        <v>218</v>
      </c>
      <c r="B30" s="12"/>
    </row>
    <row r="31" spans="1:2" x14ac:dyDescent="0.3">
      <c r="A31" s="12" t="s">
        <v>219</v>
      </c>
      <c r="B31" s="12"/>
    </row>
    <row r="32" spans="1:2" x14ac:dyDescent="0.3">
      <c r="A32" s="12" t="s">
        <v>220</v>
      </c>
      <c r="B32" s="12"/>
    </row>
    <row r="33" spans="1:2" x14ac:dyDescent="0.3">
      <c r="A33" s="12" t="s">
        <v>221</v>
      </c>
      <c r="B33" s="12"/>
    </row>
    <row r="34" spans="1:2" x14ac:dyDescent="0.3">
      <c r="A34" s="12" t="s">
        <v>222</v>
      </c>
      <c r="B34" s="12"/>
    </row>
    <row r="35" spans="1:2" x14ac:dyDescent="0.3">
      <c r="A35" s="12" t="s">
        <v>223</v>
      </c>
      <c r="B35" s="12"/>
    </row>
    <row r="36" spans="1:2" x14ac:dyDescent="0.3">
      <c r="A36" s="12" t="s">
        <v>224</v>
      </c>
      <c r="B36" s="12"/>
    </row>
    <row r="37" spans="1:2" x14ac:dyDescent="0.3">
      <c r="A37" s="12" t="s">
        <v>225</v>
      </c>
      <c r="B37" s="12"/>
    </row>
    <row r="38" spans="1:2" x14ac:dyDescent="0.3">
      <c r="A38" s="12" t="s">
        <v>226</v>
      </c>
      <c r="B38" s="12"/>
    </row>
    <row r="39" spans="1:2" x14ac:dyDescent="0.3">
      <c r="A39" s="12" t="s">
        <v>227</v>
      </c>
      <c r="B39" s="12"/>
    </row>
    <row r="40" spans="1:2" x14ac:dyDescent="0.3">
      <c r="A40" s="14" t="s">
        <v>229</v>
      </c>
      <c r="B40" s="14" t="s">
        <v>228</v>
      </c>
    </row>
    <row r="41" spans="1:2" x14ac:dyDescent="0.3">
      <c r="A41" s="12" t="s">
        <v>230</v>
      </c>
      <c r="B41" s="12"/>
    </row>
    <row r="42" spans="1:2" x14ac:dyDescent="0.3">
      <c r="A42" s="14" t="s">
        <v>231</v>
      </c>
      <c r="B42" s="14" t="s">
        <v>228</v>
      </c>
    </row>
    <row r="43" spans="1:2" x14ac:dyDescent="0.3">
      <c r="A43" s="12" t="s">
        <v>232</v>
      </c>
      <c r="B43" s="12"/>
    </row>
    <row r="44" spans="1:2" x14ac:dyDescent="0.3">
      <c r="A44" s="12" t="s">
        <v>233</v>
      </c>
      <c r="B44" s="12"/>
    </row>
    <row r="45" spans="1:2" x14ac:dyDescent="0.3">
      <c r="A45" s="12" t="s">
        <v>234</v>
      </c>
      <c r="B45" s="12"/>
    </row>
    <row r="46" spans="1:2" x14ac:dyDescent="0.3">
      <c r="A46" s="12" t="s">
        <v>235</v>
      </c>
      <c r="B46" s="12"/>
    </row>
    <row r="47" spans="1:2" x14ac:dyDescent="0.3">
      <c r="A47" s="12" t="s">
        <v>236</v>
      </c>
      <c r="B47" s="12"/>
    </row>
    <row r="48" spans="1:2" x14ac:dyDescent="0.3">
      <c r="A48" s="12" t="s">
        <v>237</v>
      </c>
      <c r="B48" s="12"/>
    </row>
    <row r="49" spans="1:2" x14ac:dyDescent="0.3">
      <c r="A49" s="12" t="s">
        <v>238</v>
      </c>
      <c r="B49" s="12"/>
    </row>
    <row r="50" spans="1:2" x14ac:dyDescent="0.3">
      <c r="A50" s="12" t="s">
        <v>239</v>
      </c>
      <c r="B50" s="12"/>
    </row>
    <row r="51" spans="1:2" x14ac:dyDescent="0.3">
      <c r="A51" s="12" t="s">
        <v>240</v>
      </c>
      <c r="B51" s="12"/>
    </row>
    <row r="52" spans="1:2" x14ac:dyDescent="0.3">
      <c r="A52" s="12" t="s">
        <v>241</v>
      </c>
      <c r="B52" s="12"/>
    </row>
    <row r="53" spans="1:2" x14ac:dyDescent="0.3">
      <c r="A53" s="12" t="s">
        <v>242</v>
      </c>
      <c r="B53" s="12"/>
    </row>
    <row r="54" spans="1:2" x14ac:dyDescent="0.3">
      <c r="A54" s="12" t="s">
        <v>243</v>
      </c>
      <c r="B54" s="12"/>
    </row>
    <row r="55" spans="1:2" x14ac:dyDescent="0.3">
      <c r="A55" s="12" t="s">
        <v>244</v>
      </c>
      <c r="B55" s="12"/>
    </row>
    <row r="56" spans="1:2" x14ac:dyDescent="0.3">
      <c r="A56" s="12" t="s">
        <v>245</v>
      </c>
      <c r="B56" s="12"/>
    </row>
    <row r="57" spans="1:2" x14ac:dyDescent="0.3">
      <c r="A57" s="12" t="s">
        <v>246</v>
      </c>
      <c r="B57" s="12"/>
    </row>
    <row r="58" spans="1:2" x14ac:dyDescent="0.3">
      <c r="A58" s="12" t="s">
        <v>247</v>
      </c>
      <c r="B58" s="12"/>
    </row>
    <row r="59" spans="1:2" x14ac:dyDescent="0.3">
      <c r="A59" s="12" t="s">
        <v>248</v>
      </c>
      <c r="B59" s="12"/>
    </row>
    <row r="60" spans="1:2" x14ac:dyDescent="0.3">
      <c r="A60" s="12" t="s">
        <v>249</v>
      </c>
      <c r="B60" s="12"/>
    </row>
    <row r="61" spans="1:2" x14ac:dyDescent="0.3">
      <c r="A61" s="12" t="s">
        <v>250</v>
      </c>
      <c r="B61" s="12"/>
    </row>
    <row r="62" spans="1:2" x14ac:dyDescent="0.3">
      <c r="A62" s="12" t="s">
        <v>251</v>
      </c>
      <c r="B62" s="12"/>
    </row>
    <row r="63" spans="1:2" x14ac:dyDescent="0.3">
      <c r="A63" s="12" t="s">
        <v>252</v>
      </c>
      <c r="B63" s="12"/>
    </row>
    <row r="64" spans="1:2" x14ac:dyDescent="0.3">
      <c r="A64" s="12" t="s">
        <v>253</v>
      </c>
      <c r="B64" s="12"/>
    </row>
    <row r="65" spans="1:2" x14ac:dyDescent="0.3">
      <c r="A65" s="12" t="s">
        <v>254</v>
      </c>
      <c r="B65" s="12"/>
    </row>
    <row r="66" spans="1:2" x14ac:dyDescent="0.3">
      <c r="A66" s="12" t="s">
        <v>255</v>
      </c>
      <c r="B66" s="12"/>
    </row>
    <row r="67" spans="1:2" x14ac:dyDescent="0.3">
      <c r="A67" s="12" t="s">
        <v>256</v>
      </c>
      <c r="B67" s="12"/>
    </row>
    <row r="68" spans="1:2" x14ac:dyDescent="0.3">
      <c r="A68" s="12" t="s">
        <v>257</v>
      </c>
      <c r="B68" s="12"/>
    </row>
    <row r="69" spans="1:2" x14ac:dyDescent="0.3">
      <c r="A69" s="12" t="s">
        <v>258</v>
      </c>
      <c r="B69" s="12"/>
    </row>
    <row r="70" spans="1:2" x14ac:dyDescent="0.3">
      <c r="A70" s="12" t="s">
        <v>259</v>
      </c>
      <c r="B70" s="12"/>
    </row>
    <row r="71" spans="1:2" x14ac:dyDescent="0.3">
      <c r="A71" s="12" t="s">
        <v>260</v>
      </c>
      <c r="B71" s="12"/>
    </row>
    <row r="72" spans="1:2" x14ac:dyDescent="0.3">
      <c r="A72" s="12" t="s">
        <v>261</v>
      </c>
      <c r="B72" s="12"/>
    </row>
    <row r="73" spans="1:2" x14ac:dyDescent="0.3">
      <c r="A73" s="12" t="s">
        <v>262</v>
      </c>
      <c r="B73" s="12"/>
    </row>
    <row r="74" spans="1:2" x14ac:dyDescent="0.3">
      <c r="A74" s="12" t="s">
        <v>263</v>
      </c>
      <c r="B74" s="12"/>
    </row>
    <row r="75" spans="1:2" x14ac:dyDescent="0.3">
      <c r="A75" s="12" t="s">
        <v>264</v>
      </c>
      <c r="B75" s="12"/>
    </row>
    <row r="76" spans="1:2" x14ac:dyDescent="0.3">
      <c r="A76" s="12" t="s">
        <v>265</v>
      </c>
      <c r="B76" s="12"/>
    </row>
    <row r="77" spans="1:2" x14ac:dyDescent="0.3">
      <c r="A77" s="12" t="s">
        <v>266</v>
      </c>
      <c r="B77" s="12"/>
    </row>
    <row r="78" spans="1:2" x14ac:dyDescent="0.3">
      <c r="A78" s="12" t="s">
        <v>267</v>
      </c>
      <c r="B78" s="12"/>
    </row>
    <row r="79" spans="1:2" s="55" customFormat="1" x14ac:dyDescent="0.3">
      <c r="A79" s="14" t="s">
        <v>268</v>
      </c>
      <c r="B79" s="14" t="s">
        <v>228</v>
      </c>
    </row>
    <row r="80" spans="1:2" s="55" customFormat="1" x14ac:dyDescent="0.3">
      <c r="A80" s="14" t="s">
        <v>269</v>
      </c>
      <c r="B80" s="14" t="s">
        <v>228</v>
      </c>
    </row>
    <row r="81" spans="1:2" x14ac:dyDescent="0.3">
      <c r="A81" s="12" t="s">
        <v>270</v>
      </c>
      <c r="B81" s="12"/>
    </row>
    <row r="82" spans="1:2" x14ac:dyDescent="0.3">
      <c r="A82" s="12" t="s">
        <v>271</v>
      </c>
      <c r="B82" s="12"/>
    </row>
    <row r="83" spans="1:2" x14ac:dyDescent="0.3">
      <c r="A83" s="12" t="s">
        <v>272</v>
      </c>
      <c r="B83" s="12"/>
    </row>
    <row r="84" spans="1:2" x14ac:dyDescent="0.3">
      <c r="A84" s="12" t="s">
        <v>273</v>
      </c>
      <c r="B84" s="12"/>
    </row>
    <row r="85" spans="1:2" x14ac:dyDescent="0.3">
      <c r="A85" s="12" t="s">
        <v>274</v>
      </c>
      <c r="B85" s="12"/>
    </row>
    <row r="86" spans="1:2" x14ac:dyDescent="0.3">
      <c r="A86" s="12" t="s">
        <v>275</v>
      </c>
      <c r="B86" s="12"/>
    </row>
    <row r="87" spans="1:2" x14ac:dyDescent="0.3">
      <c r="A87" s="12" t="s">
        <v>276</v>
      </c>
      <c r="B87" s="12"/>
    </row>
    <row r="88" spans="1:2" x14ac:dyDescent="0.3">
      <c r="A88" s="12" t="s">
        <v>277</v>
      </c>
      <c r="B88" s="12"/>
    </row>
    <row r="89" spans="1:2" x14ac:dyDescent="0.3">
      <c r="A89" s="12" t="s">
        <v>278</v>
      </c>
      <c r="B89" s="12"/>
    </row>
    <row r="90" spans="1:2" s="55" customFormat="1" x14ac:dyDescent="0.3">
      <c r="A90" s="14" t="s">
        <v>279</v>
      </c>
      <c r="B90" s="14" t="s">
        <v>228</v>
      </c>
    </row>
    <row r="91" spans="1:2" x14ac:dyDescent="0.3">
      <c r="A91" s="12" t="s">
        <v>280</v>
      </c>
      <c r="B91" s="12"/>
    </row>
    <row r="92" spans="1:2" x14ac:dyDescent="0.3">
      <c r="A92" s="12" t="s">
        <v>281</v>
      </c>
      <c r="B92" s="12"/>
    </row>
    <row r="93" spans="1:2" x14ac:dyDescent="0.3">
      <c r="A93" s="12" t="s">
        <v>282</v>
      </c>
      <c r="B93" s="12"/>
    </row>
    <row r="94" spans="1:2" x14ac:dyDescent="0.3">
      <c r="A94" s="12" t="s">
        <v>283</v>
      </c>
      <c r="B94" s="12"/>
    </row>
    <row r="95" spans="1:2" x14ac:dyDescent="0.3">
      <c r="A95" s="12" t="s">
        <v>284</v>
      </c>
      <c r="B95" s="12"/>
    </row>
    <row r="96" spans="1:2" x14ac:dyDescent="0.3">
      <c r="A96" s="12" t="s">
        <v>285</v>
      </c>
      <c r="B96" s="12"/>
    </row>
    <row r="97" spans="1:2" x14ac:dyDescent="0.3">
      <c r="A97" s="12" t="s">
        <v>286</v>
      </c>
      <c r="B97" s="12"/>
    </row>
    <row r="98" spans="1:2" x14ac:dyDescent="0.3">
      <c r="A98" s="12" t="s">
        <v>287</v>
      </c>
      <c r="B98" s="12"/>
    </row>
    <row r="99" spans="1:2" x14ac:dyDescent="0.3">
      <c r="A99" s="12" t="s">
        <v>288</v>
      </c>
      <c r="B99" s="12"/>
    </row>
    <row r="100" spans="1:2" x14ac:dyDescent="0.3">
      <c r="A100" s="12" t="s">
        <v>289</v>
      </c>
      <c r="B100" s="12"/>
    </row>
    <row r="101" spans="1:2" x14ac:dyDescent="0.3">
      <c r="A101" s="12" t="s">
        <v>290</v>
      </c>
      <c r="B101" s="12"/>
    </row>
    <row r="102" spans="1:2" x14ac:dyDescent="0.3">
      <c r="A102" s="12" t="s">
        <v>291</v>
      </c>
      <c r="B102" s="12"/>
    </row>
    <row r="103" spans="1:2" x14ac:dyDescent="0.3">
      <c r="A103" s="12" t="s">
        <v>292</v>
      </c>
      <c r="B103" s="12"/>
    </row>
    <row r="104" spans="1:2" x14ac:dyDescent="0.3">
      <c r="A104" s="12" t="s">
        <v>293</v>
      </c>
      <c r="B104" s="12"/>
    </row>
    <row r="105" spans="1:2" x14ac:dyDescent="0.3">
      <c r="A105" s="12" t="s">
        <v>294</v>
      </c>
      <c r="B105" s="12"/>
    </row>
    <row r="106" spans="1:2" x14ac:dyDescent="0.3">
      <c r="A106" s="12" t="s">
        <v>295</v>
      </c>
      <c r="B106" s="12"/>
    </row>
    <row r="107" spans="1:2" x14ac:dyDescent="0.3">
      <c r="A107" s="12" t="s">
        <v>296</v>
      </c>
      <c r="B107" s="12"/>
    </row>
    <row r="108" spans="1:2" x14ac:dyDescent="0.3">
      <c r="A108" s="12" t="s">
        <v>297</v>
      </c>
      <c r="B108" s="12"/>
    </row>
    <row r="109" spans="1:2" x14ac:dyDescent="0.3">
      <c r="A109" s="12" t="s">
        <v>298</v>
      </c>
      <c r="B109" s="12"/>
    </row>
    <row r="110" spans="1:2" x14ac:dyDescent="0.3">
      <c r="A110" s="12" t="s">
        <v>299</v>
      </c>
      <c r="B110" s="12"/>
    </row>
    <row r="111" spans="1:2" x14ac:dyDescent="0.3">
      <c r="A111" s="12" t="s">
        <v>300</v>
      </c>
      <c r="B111" s="12"/>
    </row>
    <row r="112" spans="1:2" x14ac:dyDescent="0.3">
      <c r="A112" s="12" t="s">
        <v>301</v>
      </c>
      <c r="B112" s="12"/>
    </row>
    <row r="113" spans="1:2" x14ac:dyDescent="0.3">
      <c r="A113" s="12" t="s">
        <v>302</v>
      </c>
      <c r="B113" s="12"/>
    </row>
    <row r="114" spans="1:2" x14ac:dyDescent="0.3">
      <c r="A114" s="12" t="s">
        <v>303</v>
      </c>
      <c r="B114" s="12"/>
    </row>
    <row r="115" spans="1:2" x14ac:dyDescent="0.3">
      <c r="A115" s="12" t="s">
        <v>304</v>
      </c>
      <c r="B115" s="12"/>
    </row>
    <row r="116" spans="1:2" x14ac:dyDescent="0.3">
      <c r="A116" s="12" t="s">
        <v>305</v>
      </c>
      <c r="B116" s="12"/>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BC68B8A2E61F349ADF9513FBA327309" ma:contentTypeVersion="8" ma:contentTypeDescription="Create a new document." ma:contentTypeScope="" ma:versionID="ba2ac6a1432b574feed65b49ff906084">
  <xsd:schema xmlns:xsd="http://www.w3.org/2001/XMLSchema" xmlns:xs="http://www.w3.org/2001/XMLSchema" xmlns:p="http://schemas.microsoft.com/office/2006/metadata/properties" xmlns:ns3="47eef031-b010-4201-8961-653aeb48dbf8" targetNamespace="http://schemas.microsoft.com/office/2006/metadata/properties" ma:root="true" ma:fieldsID="4cbb82227281a119a1f1d6f6391b8eae" ns3:_="">
    <xsd:import namespace="47eef031-b010-4201-8961-653aeb48dbf8"/>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eef031-b010-4201-8961-653aeb48dbf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5"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493C6E2-C516-450A-98A7-81544749557A}">
  <ds:schemaRefs>
    <ds:schemaRef ds:uri="47eef031-b010-4201-8961-653aeb48dbf8"/>
    <ds:schemaRef ds:uri="http://schemas.openxmlformats.org/package/2006/metadata/core-properties"/>
    <ds:schemaRef ds:uri="http://www.w3.org/XML/1998/namespace"/>
    <ds:schemaRef ds:uri="http://purl.org/dc/dcmitype/"/>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purl.org/dc/terms/"/>
  </ds:schemaRefs>
</ds:datastoreItem>
</file>

<file path=customXml/itemProps2.xml><?xml version="1.0" encoding="utf-8"?>
<ds:datastoreItem xmlns:ds="http://schemas.openxmlformats.org/officeDocument/2006/customXml" ds:itemID="{2E1241D3-39CD-4E0C-A04D-D742981C1E4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eef031-b010-4201-8961-653aeb48d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66F859E-6E63-4A2C-90A8-EC30F8D48B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Appendix G Envelope Rules</vt:lpstr>
      <vt:lpstr>Envelope Decisions</vt:lpstr>
      <vt:lpstr>Schema Data Elements</vt:lpstr>
      <vt:lpstr>Test Case Descriptions</vt:lpstr>
      <vt:lpstr>Calcs_Rule5</vt:lpstr>
      <vt:lpstr>Calcs_Rule12</vt:lpstr>
      <vt:lpstr>Unit Conversions</vt:lpstr>
      <vt:lpstr>Lighting Space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Tillou, Michael M</dc:creator>
  <cp:lastModifiedBy>test</cp:lastModifiedBy>
  <dcterms:created xsi:type="dcterms:W3CDTF">2020-05-01T17:37:49Z</dcterms:created>
  <dcterms:modified xsi:type="dcterms:W3CDTF">2021-02-16T00:55:35Z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0x010100ABC68B8A2E61F349ADF9513FBA327309</vt:lpwstr>
  </property>
</Properties>
</file>